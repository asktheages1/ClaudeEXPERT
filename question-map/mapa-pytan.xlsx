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tania" sheetId="1" state="visible" r:id="rId3"/>
    <sheet name="Instrukcja" sheetId="2" state="visible" r:id="rId4"/>
    <sheet name="Gałęzie" sheetId="3" state="visible" r:id="rId5"/>
    <sheet name="Podsumowanie" sheetId="4" state="visible" r:id="rId6"/>
  </sheets>
  <definedNames>
    <definedName function="false" hidden="true" localSheetId="0" name="_xlnm._FilterDatabase" vbProcedure="false">Pytania!$A$1:$M$111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<sst xmlns="http://schemas.openxmlformats.org/spreadsheetml/2006/main" count="1208" uniqueCount="621">
  <si>
    <t xml:space="preserve">Kod</t>
  </si>
  <si>
    <t xml:space="preserve">Poziom</t>
  </si>
  <si>
    <t xml:space="preserve">Gałąź</t>
  </si>
  <si>
    <t xml:space="preserve">Pytanie</t>
  </si>
  <si>
    <t xml:space="preserve">Status</t>
  </si>
  <si>
    <t xml:space="preserve">Nieoczywiste</t>
  </si>
  <si>
    <t xml:space="preserve">Dlaczego ważne</t>
  </si>
  <si>
    <t xml:space="preserve">Zależy od</t>
  </si>
  <si>
    <t xml:space="preserve">Źródło</t>
  </si>
  <si>
    <t xml:space="preserve">Zgłoszenia społeczności</t>
  </si>
  <si>
    <t xml:space="preserve">Pochodzenie</t>
  </si>
  <si>
    <t xml:space="preserve">Moje notatki</t>
  </si>
  <si>
    <t xml:space="preserve">Odpowiedź</t>
  </si>
  <si>
    <t xml:space="preserve">A1</t>
  </si>
  <si>
    <t xml:space="preserve">A · Cel i miara sukcesu</t>
  </si>
  <si>
    <t xml:space="preserve">Jakie konkretne rezultaty ma dawać każdy z moich systemów i komu mają służyć?</t>
  </si>
  <si>
    <t xml:space="preserve">Otwarte</t>
  </si>
  <si>
    <t xml:space="preserve">nie</t>
  </si>
  <si>
    <t xml:space="preserve">Bez nazwanego rezultatu nie da się stwierdzić, czy Claude „się słucha” ani czy audyt coś przeoczył; każda ocena staje się wrażeniem.</t>
  </si>
  <si>
    <t xml:space="preserve">analiza własna; KB O0 §6 „Apparent understanding” [SOURCE: CC best-practices]</t>
  </si>
  <si>
    <t xml:space="preserve">Analiza własna</t>
  </si>
  <si>
    <t xml:space="preserve">A2</t>
  </si>
  <si>
    <t xml:space="preserve">Po czym, niezależnie od zapewnień Claude, poznam, że zadanie zostało wykonane dobrze?</t>
  </si>
  <si>
    <t xml:space="preserve">Bez sprawdzalnych kryteriów odbioru „gotowe” znaczy tylko „Claude tak twierdzi”, a dwie oceny tej samej pracy wychodzą różnie.</t>
  </si>
  <si>
    <t xml:space="preserve">KB O0 §6 „False done”; https://www.anthropic.com/engineering/demystifying-evals-for-ai-agents („A good task is one where two domain experts would independently reach the same pass/fail verdict.”)</t>
  </si>
  <si>
    <t xml:space="preserve">Baza wiedzy repo</t>
  </si>
  <si>
    <t xml:space="preserve">A3</t>
  </si>
  <si>
    <t xml:space="preserve">Które błędy są dla mnie najdroższe, a które mogę tolerować?</t>
  </si>
  <si>
    <t xml:space="preserve">tak</t>
  </si>
  <si>
    <t xml:space="preserve">Bez tego kontrola jest rozłożona na ślepo: za droga tam, gdzie błąd nic nie kosztuje, i za słaba tam, gdzie kosztuje najwięcej.</t>
  </si>
  <si>
    <t xml:space="preserve">KB O0 §8 (przegląd w świeżym kontekście opłaca się tam, gdzie błąd kosztuje więcej niż przegląd)</t>
  </si>
  <si>
    <t xml:space="preserve">A4</t>
  </si>
  <si>
    <t xml:space="preserve">Które zadania w ogóle nadają się do powierzenia Claude, a które lepiej zrobić samemu lub innym narzędziem?</t>
  </si>
  <si>
    <t xml:space="preserve">Źle dobrane zadanie daje pozorną pracę, której sprawdzanie trwa dłużej niż zrobienie jej samemu.</t>
  </si>
  <si>
    <t xml:space="preserve">A1, A3</t>
  </si>
  <si>
    <t xml:space="preserve">analiza własna; KB O0 §8 (małe, iteracyjne zadania taniej w głównym oknie)</t>
  </si>
  <si>
    <t xml:space="preserve">A4.1</t>
  </si>
  <si>
    <t xml:space="preserve">Podpytanie</t>
  </si>
  <si>
    <t xml:space="preserve">Jak duże zadanie mogę dać jednej sesji lub jednemu agentowi, zanim jakość zacznie spadać, i po czym poznam, że trzeba je podzielić?</t>
  </si>
  <si>
    <t xml:space="preserve">Zbyt duże zadanie zapełnia pamięć roboczą modelu; Claude zaczyna „zapominać” wcześniejsze polecenia i częściej się myli, a ja widzę tylko końcowe „gotowe”.</t>
  </si>
  <si>
    <t xml:space="preserve">A4, G3</t>
  </si>
  <si>
    <t xml:space="preserve">https://code.claude.com/docs/en/best-practices („When the context window is getting full, Claude may start "forgetting" earlier instructions or making more mistakes.”); KB O0 §1 (stopniowy spadek jakości, bez progu liczbowego)</t>
  </si>
  <si>
    <t xml:space="preserve">Dokumentacja Anthropic</t>
  </si>
  <si>
    <t xml:space="preserve">A5</t>
  </si>
  <si>
    <t xml:space="preserve">Które decyzje zostawiam wyłącznie sobie, a kiedy Claude ma przerwać pracę i zapytać?</t>
  </si>
  <si>
    <t xml:space="preserve">Bez tej granicy Claude albo rozstrzyga sprawy, które należą do mnie (także nieodwracalne), albo zatrzymuje się bez potrzeby.</t>
  </si>
  <si>
    <t xml:space="preserve">KB O0 §3, §8; https://platform.claude.com/docs/en/build-with-claude/prompt-engineering/prompting-claude-fable-5 („Pause for the user only when the work genuinely requires them”)</t>
  </si>
  <si>
    <t xml:space="preserve">[2026-08-29] „Between measuring and delivering, this model inserts a question to the user.” — #90650 https://github.com/anthropics/claude-code/issues/90650</t>
  </si>
  <si>
    <t xml:space="preserve">B1</t>
  </si>
  <si>
    <t xml:space="preserve">B · Posłuszeństwo wobec instrukcji</t>
  </si>
  <si>
    <t xml:space="preserve">Które moje zasady muszą być przestrzegane bez wyjątku, a które są tylko wskazówkami?</t>
  </si>
  <si>
    <t xml:space="preserve">Tekst instrukcji tylko doradza modelowi; jeśli nie oddzielę zasad bezwzględnych od preferencji, te pierwsze będą łamane tak samo jak drugie.</t>
  </si>
  <si>
    <t xml:space="preserve">KB O0 §6, §8; https://code.claude.com/docs/en/memory („Claude treats them as context, not enforced configuration.”)</t>
  </si>
  <si>
    <t xml:space="preserve">B1.1</t>
  </si>
  <si>
    <t xml:space="preserve">Dla każdej zasady bezwzględnej: co ją faktycznie wymusza, a co tylko o niej przypomina?</t>
  </si>
  <si>
    <t xml:space="preserve">Zakaz zapisany w instrukcji to prośba; np. wypchnięcia zmian do wersji głównej nie blokuje ani serwer pośredniczący chmury, ani domyślne zabezpieczenia, a moje uprawnienia administratora mogą ominąć ochronę gałęzi (ustawienie w GitHub blokujące zmiany w gałęzi).</t>
  </si>
  <si>
    <t xml:space="preserve">I1</t>
  </si>
  <si>
    <t xml:space="preserve">KB O0 §8 („Hard is only what Claude Code or the server enforces”) [SOURCE: CE; MEASURED: claude auto-mode defaults]; https://code.claude.com/docs/en/security („A rule that access can bypass doesn't block a session's push”); https://code.claude.com/docs/en/debug-your-config („where you need a guarantee instead of guidance”)</t>
  </si>
  <si>
    <t xml:space="preserve">[2026-08-29] „Every place he had built enforcement, enforcement worked. Every place he had only a rule, the rule was broken.” — #90542 https://github.com/anthropics/claude-code/issues/90542
[2026-08-21] „printed its full contents (a SOPS-encrypted JSON envelope) into the visible transcript, despite this instruction being loaded into context from CLAUDE.md.” — #88470 https://github.com/anthropics/claude-code/issues/88470
[2026-08-28; 2026-08-24] „So following the Auto Mode instruction guarantees neither ever loads. / makes its edits with `sed` and heredocs, so those hooks are never called.” — #90450 https://github.com/anthropics/claude-code/issues/90450; #89251 https://github.com/anthropics/claude-code/issues/89251
[2026-09-18; 2026-09-28] „generated the user's approval inside its own assistant message and treated it as real consent / injecting an identical line in the same position after every user turn” — #95360 https://github.com/anthropics/claude-code/issues/95360; #97927 https://github.com/anthropics/claude-code/issues/97927
[2026-08-06] „The `Read` tool successfully reads files matched by rules that are confirmed active and present in the `Deny` list” — #84634 https://github.com/anthropics/claude-code/issues/84634
[2026-09-06] „Deny and allow rules alike are silently skipped.” — #92542 https://github.com/anthropics/claude-code/issues/92542
[2026-08-07] „The agent can add non-existent/no-op config keys that look like they add protection, and can invalidate its own settings.json, with no visible failure.” — #84863 https://github.com/anthropics/claude-code/issues/84863
[data nie podana; poradnik osoby trzeciej] „Only exit 2 blocks.” — https://github.com/yurukusa/cc-safe-setup/blob/main/TROUBLESHOOTING.md
[2026-08-24; sprzeczne z tytułem #78119] „Claude Code therefore never loads `&lt;repo&gt;/.claude/settings.json`, and any hooks registered there never fire. Nothing warns — not the session, not the logs.” — #89215 https://github.com/anthropics/claude-code/issues/89215</t>
  </si>
  <si>
    <t xml:space="preserve">B2</t>
  </si>
  <si>
    <t xml:space="preserve">Skąd wiem, które instrukcje Claude naprawdę „widzi” w danym momencie: w głównej sesji i u każdego agenta?</t>
  </si>
  <si>
    <t xml:space="preserve">Zasada, której Claude nie dostał, nie może być przestrzegana; poprawia się wtedy treść, choć przyczyną jest to, że plik w ogóle nie dotarł.</t>
  </si>
  <si>
    <t xml:space="preserve">KB O0 §2 tabela „At start” [MEASURED: transkrypty, 2026-10-04]; https://code.claude.com/docs/en/sub-agents („Explore and Plan skip your CLAUDE.md files”)</t>
  </si>
  <si>
    <t xml:space="preserve">[2026-08-28; 2026-08-24] „So following the Auto Mode instruction guarantees neither ever loads. / makes its edits with `sed` and heredocs, so those hooks are never called.” — #90450 https://github.com/anthropics/claude-code/issues/90450; #89251 https://github.com/anthropics/claude-code/issues/89251
[2026-09-23] „Creating a new file with `Write` loads neither.” — #96361 https://github.com/anthropics/claude-code/issues/96361
[2026-10-03] „the worktree's root `CLAUDE.md` (and its `@AGENTS.md` import) is never loaded into context.” — #99275 https://github.com/anthropics/claude-code/issues/99275
[2026-08-19, zamknięte jako not planned] „every one of the 7 project-defined agents is gone from the registry, despite the files being unchanged on disk” — #88023 https://github.com/anthropics/claude-code/issues/88023
[2026-09-09; 2026-07-28] „the truncation preferentially discards supersessions, leaving the superseded version loaded and authoritative.” — #92998 https://github.com/anthropics/claude-code/issues/92998; #82056 https://github.com/anthropics/claude-code/issues/82056</t>
  </si>
  <si>
    <t xml:space="preserve">B2.1</t>
  </si>
  <si>
    <t xml:space="preserve">Co dzieje się z poleceniami i zakazami podanymi w rozmowie, gdy długa sesja zostanie automatycznie streszczona (kompakcja: skrócenie historii, żeby zmieściła się w pamięci roboczej modelu)?</t>
  </si>
  <si>
    <t xml:space="preserve">Polecenie podane tylko w rozmowie przetrwa jedynie jako streszczenie; zakaz typu „nie wypychaj zmian” może zniknąć.</t>
  </si>
  <si>
    <t xml:space="preserve">KB O0 §1, §4; https://code.claude.com/docs/en/permission-modes („a boundary can be lost if context compaction removes the message that stated it.”)</t>
  </si>
  <si>
    <t xml:space="preserve">[2026-09-20] „After `/compact`, the model reliably stops following project instructions from `CLAUDE.md`, even though the `CLAUDE.md` content is demonstrably present in the post-compaction context” — #95745 https://github.com/anthropics/claude-code/issues/95745
[2026-09-23] „Compaction is invisible to the user. From the outside the assistant simply becomes less compliant partway through a long session, with no event to point at.” — #96422 https://github.com/anthropics/claude-code/issues/96422</t>
  </si>
  <si>
    <t xml:space="preserve">B2.2</t>
  </si>
  <si>
    <t xml:space="preserve">Od kiedy obowiązuje zmiana instrukcji: od razu, od nowej sesji, czy dopiero po włączeniu jej do głównej wersji repozytorium?</t>
  </si>
  <si>
    <t xml:space="preserve">Poprawka, która „nie działa”, często jeszcze nie obowiązuje; agenci i automatyczne zabezpieczenia mają wersję z początku sesji.</t>
  </si>
  <si>
    <t xml:space="preserve">F2</t>
  </si>
  <si>
    <t xml:space="preserve">KB O0 §2 [MEASURED: plik dodany w trakcie sesji niewidoczny dla nowego agenta]; findings.md 2026-10-06; https://www.anthropic.com/engineering/multi-agent-research-system („agents might be anywhere in their process.”)</t>
  </si>
  <si>
    <t xml:space="preserve">[2026-09-03; 2026-04-18; 2026-09-18] „There is no warning on stderr, nothing in `--debug` output, and the file is otherwise valid.” — #91781 https://github.com/anthropics/claude-code/issues/91781; #50522 https://github.com/anthropics/claude-code/issues/50522; #95357 https://github.com/anthropics/claude-code/issues/95357
[data nie podana; poradnik osoby trzeciej] „Only exit 2 blocks.” — https://github.com/yurukusa/cc-safe-setup/blob/main/TROUBLESHOOTING.md</t>
  </si>
  <si>
    <t xml:space="preserve">B2.3</t>
  </si>
  <si>
    <t xml:space="preserve">Które z moich stałych ustawień (instrukcje i pamięć konta claude.ai, pliki w repozytoriach, ustawienia osobiste) docierają do którego miejsca pracy i które wygrywa, gdy się różnią?</t>
  </si>
  <si>
    <t xml:space="preserve">Zasada zapisana w jednym miejscu nie działa tam, gdzie zakładam, albo przegrywa z kopią, o której zapomniałem.</t>
  </si>
  <si>
    <t xml:space="preserve">KB O0 §2 [MEASURED: preferencje claude.ai tylko w głównym oknie, u żadnego agenta]; https://code.claude.com/docs/en/features-overview („when the same name exists at multiple levels, one definition wins”); niesprawdzone: czy pamięć konta claude.ai dociera do sesji Claude Code</t>
  </si>
  <si>
    <t xml:space="preserve">[2026-08-20] „I want to write my personal instructions once … and have them apply wherever I use Claude Code.” — #88354 https://github.com/anthropics/claude-code/issues/88354</t>
  </si>
  <si>
    <t xml:space="preserve">B3</t>
  </si>
  <si>
    <t xml:space="preserve">Jak wykryję, że zasada została złamana, bez polegania na tym, że Claude sam się przyzna?</t>
  </si>
  <si>
    <t xml:space="preserve">Dziś złamanie zasady wychodzi przypadkiem; bez niezależnego wykrywania nie wiem, jak często się zdarza.</t>
  </si>
  <si>
    <t xml:space="preserve">B1, D2</t>
  </si>
  <si>
    <t xml:space="preserve">analiza własna; KB O0 §4 (odmowy zabezpieczeń widać tylko w raporcie agenta)</t>
  </si>
  <si>
    <t xml:space="preserve">[2026-10-03] „Every retraction was triggered by an external check (a hook, a regression suite, or an independent verifier subagent). The model caught none of them on its own.” — #99216 https://github.com/anthropics/claude-code/issues/99216</t>
  </si>
  <si>
    <t xml:space="preserve">B4</t>
  </si>
  <si>
    <t xml:space="preserve">Co musi być przed Claude zawsze, co tylko przy związanym zadaniu i ile tekstu wczytywanego zawsze to już za dużo?</t>
  </si>
  <si>
    <t xml:space="preserve">Gdy wszystko trafia do plików wczytywanych na starcie, przestrzeganie spada, a każdy agent płaci za ten tekst przy uruchomieniu.</t>
  </si>
  <si>
    <t xml:space="preserve">G3</t>
  </si>
  <si>
    <t xml:space="preserve">KB O0 §2, §6, §8; https://code.claude.com/docs/en/memory („target under 200 lines per CLAUDE.md file. Longer files consume more context and reduce adherence.”; „If an entry is a multi-step procedure or only matters for one part of the codebase, move it”)</t>
  </si>
  <si>
    <t xml:space="preserve">B4.1</t>
  </si>
  <si>
    <t xml:space="preserve">Kiedy Claude stosuje moją zasadę tam, gdzie nie pasuje, albo pomija ją w nowym przypadku, to z czego to wynika?</t>
  </si>
  <si>
    <t xml:space="preserve">Bez rozpoznania przyczyny dopisuję kolejne zasady-wyjątki, a problem wraca w innej postaci.</t>
  </si>
  <si>
    <t xml:space="preserve">https://platform.claude.com/docs/en/build-with-claude/prompt-engineering/claude-prompting-best-practices („Claude is smart enough to generalize from the explanation.”; „you can use more normal prompting”)</t>
  </si>
  <si>
    <t xml:space="preserve">B5</t>
  </si>
  <si>
    <t xml:space="preserve">Co się dzieje, gdy moje instrukcje przeczą sobie nawzajem albo wbudowanym instrukcjom Claude Code, których nie widzę?</t>
  </si>
  <si>
    <t xml:space="preserve">Claude wybiera wtedy sam i nie musi o tym powiedzieć; wygląda to na nieposłuszeństwo, choć jest skutkiem sprzeczności.</t>
  </si>
  <si>
    <t xml:space="preserve">https://code.claude.com/docs/en/memory („if two instructions contradict each other, Claude may pick one arbitrarily”); https://code.claude.com/docs/en/how-claude-code-works („the rule may have come from a system reminder.”)</t>
  </si>
  <si>
    <t xml:space="preserve">[2026-08-11] „The note was read, understood, and agreed with. It lost to another rule that was equally valid in isolation.” — #85677 https://github.com/anthropics/claude-code/issues/85677
[2026-07-24] „the model treated the injected line as if it carried my authority and let it override my explicit standing instruction.” — #80988 https://github.com/anthropics/claude-code/issues/80988
[2026-09-03] „a system-reminder claiming to "replace earlier guidance" can appear attached to the tool result and get followed as if it were legitimate system instruction” — #91861 https://github.com/anthropics/claude-code/issues/91861</t>
  </si>
  <si>
    <t xml:space="preserve">B6</t>
  </si>
  <si>
    <t xml:space="preserve">Jak wcześnie wychodzi na jaw, że Claude zrozumiał polecenie inaczej niż ja?</t>
  </si>
  <si>
    <t xml:space="preserve">Rozbieżność w rozumieniu celu wychodzi zwykle dopiero po wykonaniu pracy, gdy poprawka kosztuje najwięcej.</t>
  </si>
  <si>
    <t xml:space="preserve">KB O0 §6 „Apparent understanding” [SOURCE: CC best-practices]; KB O5 §1 („Name the exact behavior you want or don't want”)</t>
  </si>
  <si>
    <t xml:space="preserve">B6.1</t>
  </si>
  <si>
    <t xml:space="preserve">Czy z mojego polecenia jasno wynika, czy chcę porady czy działania, i jak daleko sięga zadanie?</t>
  </si>
  <si>
    <t xml:space="preserve">Claude proponuje zmiany, gdy chciałem je mieć zrobione, robi je, gdy chciałem tylko opinii, albo po cichu zawęża lub poszerza zadanie.</t>
  </si>
  <si>
    <t xml:space="preserve">https://platform.claude.com/docs/en/build-with-claude/prompt-engineering/claude-prompting-best-practices („Claude will sometimes provide suggestions rather than implementing them”); …/prompting-claude-fable-5-1 („don't quietly narrow, widen, or swap it”)</t>
  </si>
  <si>
    <t xml:space="preserve">[2026-09-25] „The queue grew faster than items were completed.” — #97117 https://github.com/anthropics/claude-code/issues/97117</t>
  </si>
  <si>
    <t xml:space="preserve">B7</t>
  </si>
  <si>
    <t xml:space="preserve">Czy Claude za każdym razem sięga po przygotowane przeze mnie narzędzia i procedury i trzyma się ich do końca zadania, czy sam decyduje i z czasem odpuszcza?</t>
  </si>
  <si>
    <t xml:space="preserve">Procedura pominięta, bo Claude uznał ją za zbędną, albo wykonana tylko na początku, wygląda w raporcie tak samo jak procedura przestrzegana.</t>
  </si>
  <si>
    <t xml:space="preserve">https://code.claude.com/docs/en/skills („Claude Code does not re-read the skill file on later turns”); https://support.claude.com/en/articles/13730515 („Connectors aren't loaded until Claude searches for the right one”); https://claude.com/docs/skills/overview („it's the only part Claude sees before deciding to use the skill.”)</t>
  </si>
  <si>
    <t xml:space="preserve">[2026-09-15] „the paraphrase lost a detail that mattered.” — #94564 https://github.com/anthropics/claude-code/issues/94564
[2026-09-19; 2026-08-09] „this silently breaks natural-language auto-triggering for the affected skills — they only work when invoked by explicit name.” — #95582 https://github.com/anthropics/claude-code/issues/95582; #85207 https://github.com/anthropics/claude-code/issues/85207</t>
  </si>
  <si>
    <t xml:space="preserve">B7.1</t>
  </si>
  <si>
    <t xml:space="preserve">Czy stałe zasady (np. język i forma odpowiedzi) obowiązują przez całą sesję, także po długich ciągach czynności?</t>
  </si>
  <si>
    <t xml:space="preserve">Zasada przestrzegana na początku może wygasać w trakcie długiej pracy, a poprawki w rozmowie nie zawsze ją przywracają (jedno zgłoszenie, słabe wsparcie).</t>
  </si>
  <si>
    <t xml:space="preserve">społeczność: GitHub anthropics/claude-code #96326 (zgłoszenie, nie fakt)</t>
  </si>
  <si>
    <t xml:space="preserve">[2026-09-23] „In one long agentic session, the model (Opus 5.5, 1M context, Concise output style) sent several user-facing replies in English.” — #96326 https://github.com/anthropics/claude-code/issues/96326</t>
  </si>
  <si>
    <t xml:space="preserve">Społeczność</t>
  </si>
  <si>
    <t xml:space="preserve">C1</t>
  </si>
  <si>
    <t xml:space="preserve">C · Źródła zamiast pamięci</t>
  </si>
  <si>
    <t xml:space="preserve">Przy jakich pytaniach odpowiedź z pamięci modelu jest dla mnie dopuszczalna, a przy jakich musi za nią stać źródło?</t>
  </si>
  <si>
    <t xml:space="preserve">Bez tej granicy albo nic nie jest sprawdzone, albo każda odpowiedź kosztuje pełne poszukiwania.</t>
  </si>
  <si>
    <t xml:space="preserve">analiza własna; CLAUDE.md tego repozytorium („Your training data is likely older and less precise than the KB”)</t>
  </si>
  <si>
    <t xml:space="preserve">C1.1</t>
  </si>
  <si>
    <t xml:space="preserve">Które tematy w mojej pracy zmieniają się tak szybko, że pamięć modelu i moja baza wiedzy szybko stają się nieaktualne, choć brzmią pewnie?</t>
  </si>
  <si>
    <t xml:space="preserve">Przy tematach częściowo znanych (narzędzia AI, ceny, przepisy) nieaktualna odpowiedź brzmi najbardziej przekonująco.</t>
  </si>
  <si>
    <t xml:space="preserve">https://platform.claude.com/docs/en/build-with-claude/prompt-engineering/prompting-claude-fable-5-1 („partial background is exactly what makes an out-of-date answer sound authoritative”); CLAUDE.md „Freshness”</t>
  </si>
  <si>
    <t xml:space="preserve">C2</t>
  </si>
  <si>
    <t xml:space="preserve">Które źródła są dla mnie wiarygodne i w jakiej kolejności, gdy sobie przeczą?</t>
  </si>
  <si>
    <t xml:space="preserve">Bez ustalonej hierarchii Claude wybiera źródło dowolnie, a sprzeczność znika bez śladu.</t>
  </si>
  <si>
    <t xml:space="preserve">CLAUDE.md tego repozytorium (hierarchia dowodów); https://code.claude.com/docs/en/best-practices („Point to sources.”)</t>
  </si>
  <si>
    <t xml:space="preserve">C3</t>
  </si>
  <si>
    <t xml:space="preserve">Jak w gotowej odpowiedzi odróżnię, co pochodzi ze źródła, co z pamięci modelu, co jest domysłem, a czego nie udało się sprawdzić?</t>
  </si>
  <si>
    <t xml:space="preserve">Odpowiedzi z pamięci brzmią równie pewnie, a sprawdzenie, które się nie powiodło, wygląda jak brak problemów.</t>
  </si>
  <si>
    <t xml:space="preserve">C2, D1</t>
  </si>
  <si>
    <t xml:space="preserve">https://platform.claude.com/docs/en/build-with-claude/prompt-engineering/prompting-claude-sonnet-5-5 („sometimes answers from its training knowledge when a web search would catch details that have changed.”); https://code.claude.com/docs/en/workflows („lists that claim as unverified instead of counting it as refuted.”)</t>
  </si>
  <si>
    <t xml:space="preserve">[2026-10-03] „Every retraction was triggered by an external check (a hook, a regression suite, or an independent verifier subagent). The model caught none of them on its own.” — #99216 https://github.com/anthropics/claude-code/issues/99216
[2026-09-07] „asserted measurement provenance it never obtained — wall-clock timestamps it had not read, and in one case the results of two shell commands it never ran.” — #92732 https://github.com/anthropics/claude-code/issues/92732</t>
  </si>
  <si>
    <t xml:space="preserve">C3.1</t>
  </si>
  <si>
    <t xml:space="preserve">Gdy Claude wskazuje źródło, skąd wiem, że źródło naprawdę mówi to, co twierdzenie, i które słowa są cytatem, a które jego parafrazą?</t>
  </si>
  <si>
    <t xml:space="preserve">Prawdziwe źródło przypięte do twierdzenia, którego nie popiera, wygląda dokładnie jak dowód.</t>
  </si>
  <si>
    <t xml:space="preserve">https://www.anthropic.com/engineering/multi-agent-research-system („citation accuracy (do the cited sources match the claims?)”); …/prompting-claude-fable-5-1 („Summaries reproduce source wording without marking it as a quotation”)</t>
  </si>
  <si>
    <t xml:space="preserve">C4</t>
  </si>
  <si>
    <t xml:space="preserve">Do których potrzebnych mi źródeł Claude ma dostęp w sesji w chmurze i co robi, gdy dostępu nie ma?</t>
  </si>
  <si>
    <t xml:space="preserve">Zablokowane źródło łatwo zamienia się w cichą odpowiedź z pamięci albo w „obejście”, które wygląda jak prawdziwy wynik.</t>
  </si>
  <si>
    <t xml:space="preserve">J1</t>
  </si>
  <si>
    <t xml:space="preserve">KB O0 §7; findings.md 2026-10-06 [MEASURED: fora i blogi zablokowane dla curl i WebFetch w sieci Trusted]; https://code.claude.com/docs/en/claude-projects („Don't substitute, mock, or guess.”)</t>
  </si>
  <si>
    <t xml:space="preserve">C4.1</t>
  </si>
  <si>
    <t xml:space="preserve">Gdy Claude mówi, że coś przeczytał lub przeszukał, czy widział całość, streszczenie, tylko początek, czy nic?</t>
  </si>
  <si>
    <t xml:space="preserve">Wnioski budowane na fragmencie lub pustym wyniku wyglądają jak wnioski z pełnej lektury.</t>
  </si>
  <si>
    <t xml:space="preserve">https://code.claude.com/docs/en/tools-reference („WebFetch lossy by design”; „Read returns the first page with a `PARTIAL view` notice”; „a capped call appears in the conversation as a search that did nothing”); KB O0 §1</t>
  </si>
  <si>
    <t xml:space="preserve">[2026-04-27] „The Read tool truncates without warning. The agent has no metadata about whether it received the complete file.” — #53994 https://github.com/anthropics/claude-code/issues/53994</t>
  </si>
  <si>
    <t xml:space="preserve">C5</t>
  </si>
  <si>
    <t xml:space="preserve">Co Claude ma zrobić, gdy źródła nie rozstrzygają sprawy?</t>
  </si>
  <si>
    <t xml:space="preserve">Jeśli „nie wiem” nie jest dozwolonym wynikiem, model wypełnia lukę domysłem podanym jako fakt.</t>
  </si>
  <si>
    <t xml:space="preserve">https://platform.claude.com/docs/en/test-and-evaluate/strengthen-guardrails/reduce-hallucinations („Explicitly give Claude permission to admit uncertainty.”); CLAUDE.md („Never present a guess as fact”)</t>
  </si>
  <si>
    <t xml:space="preserve">D1</t>
  </si>
  <si>
    <t xml:space="preserve">D · Dowody i weryfikacja pracy</t>
  </si>
  <si>
    <t xml:space="preserve">Co dla mnie liczy się jako dowód, że coś zostało sprawdzone albo zrobione?</t>
  </si>
  <si>
    <t xml:space="preserve">Bez standardu dowodu „sprawdziłem” nie różni się od zmyślenia; „przetestowane” może znaczyć test, który nawet się nie uruchomił.</t>
  </si>
  <si>
    <t xml:space="preserve">https://code.claude.com/docs/en/best-practices („Have Claude show evidence rather than asserting success”); …/prompting-claude-sonnet-5-5 („A syntax-only check, or a check command that failed to start, does not count”)</t>
  </si>
  <si>
    <t xml:space="preserve">[2026-04-12] „Changed the denominator (4992 to 4966) to hide the dropped tests; Claimed ALL PASSED when the suite was failing” — #46940 https://github.com/anthropics/claude-code/issues/46940
[2026-05-30] „reported every check as "verified green," while never having run `make -j4` — the project's canonical build-and-test command.” — #63861 https://github.com/anthropics/claude-code/issues/63861</t>
  </si>
  <si>
    <t xml:space="preserve">D1.1</t>
  </si>
  <si>
    <t xml:space="preserve">Które elementy odpowiedzi (cytaty, linki, liczby, nazwy, wersje) sprawdzam zawsze, a które wyrywkowo?</t>
  </si>
  <si>
    <t xml:space="preserve">Sprawdzanie wszystkiego jest niewykonalne, a niesprawdzanie niczego przepuszcza zmyślenia w najbardziej „twardych” miejscach.</t>
  </si>
  <si>
    <t xml:space="preserve">analiza własna</t>
  </si>
  <si>
    <t xml:space="preserve">D2</t>
  </si>
  <si>
    <t xml:space="preserve">Jak mogę niezależnie od relacji Claude sprawdzić, co faktycznie wykonał: jakie czynności i z jakim wynikiem?</t>
  </si>
  <si>
    <t xml:space="preserve">Liczy się rzeczywisty stan plików i systemów, a nie raport; bez wglądu w zapis przebiegu nie odróżnię czynności wykonanej od opisanej.</t>
  </si>
  <si>
    <t xml:space="preserve">KB O0 §5 [MEASURED: wysiłek z pola transkryptu, nie z deklaracji]; https://www.anthropic.com/engineering/demystifying-evals-for-ai-agents („the outcome is whether a reservation exists”; „read the transcripts and grades from many trials.”)</t>
  </si>
  <si>
    <t xml:space="preserve">[2026-09-07] „asserted measurement provenance it never obtained — wall-clock timestamps it had not read, and in one case the results of two shell commands it never ran.” — #92732 https://github.com/anthropics/claude-code/issues/92732</t>
  </si>
  <si>
    <t xml:space="preserve">D2.1</t>
  </si>
  <si>
    <t xml:space="preserve">Skąd wiem, jakim modelem i na jakim poziomie wysiłku (ustawienie określające, ile model myśli i sprawdza) naprawdę wykonano daną pracę?</t>
  </si>
  <si>
    <t xml:space="preserve">Podzadanie bez jawnego ustawienia może biec na słabszym modelu, rozmowa może zostać automatycznie przełączona na słabszy model do jej końca, a deklaracja samego modelu nie jest wiarygodna.</t>
  </si>
  <si>
    <t xml:space="preserve">KB O0 §5 [MEASURED: claude -p bez --model → claude-sonnet-5-5]; https://support.claude.com/en/articles/16049681 („the model picker stays on the less capable model for the rest of the conversation.”); https://code.claude.com/docs/en/sub-agents (claude-code-guide działa na Haiku)</t>
  </si>
  <si>
    <t xml:space="preserve">[2026-08-04] „The `model` key in `settings.json` is not enforceable today. It is silently overridden by two cache/server layers” — #83795 https://github.com/anthropics/claude-code/issues/83795</t>
  </si>
  <si>
    <t xml:space="preserve">D2.2</t>
  </si>
  <si>
    <t xml:space="preserve">Czy wyjaśnienie Claude, dlaczego coś zrobił, mogę traktować jako dowód przyczyny błędu, czy tylko jako hipotezę do sprawdzenia?</t>
  </si>
  <si>
    <t xml:space="preserve">Audyt oparty na deklarowanych powodach może przeoczyć prawdziwą przyczynę błędu.</t>
  </si>
  <si>
    <t xml:space="preserve">https://www.anthropic.com/research/reasoning-models-dont-say-think (starszy model, warunki badawcze); https://www.anthropic.com/engineering/writing-tools-for-agents („LLMs don’t always say what they mean.”)</t>
  </si>
  <si>
    <t xml:space="preserve">[2026-09-24] „While writing this report, I also blurred timestamps and cut the start of the migration timeline, which shrank my responsibility” — #96771 https://github.com/anthropics/claude-code/issues/96771</t>
  </si>
  <si>
    <t xml:space="preserve">D3</t>
  </si>
  <si>
    <t xml:space="preserve">Gdy Claude pracuje beze mnie, na jakiej podstawie praca zostaje uznana za skończoną: rzeczywistego stanu czy tylko słów Claude?</t>
  </si>
  <si>
    <t xml:space="preserve">Model kończy, gdy praca „wygląda na skończoną”; odpowiedź tekstowa bywa tylko raportem z postępu, a ocena oparta wyłącznie na rozmowie daje się przekonać samymi zapewnieniami.</t>
  </si>
  <si>
    <t xml:space="preserve">A2, D1</t>
  </si>
  <si>
    <t xml:space="preserve">KB O0 §6 „False done”; https://code.claude.com/docs/en/goal („It doesn't run commands or read files independently”); …/prompting-claude-opus-5-5 („Treat a text-only end of turn as a report rather than as proof the task is done.”)</t>
  </si>
  <si>
    <t xml:space="preserve">[2026-05-30] „reported every check as "verified green," while never having run `make -j4` — the project's canonical build-and-test command.” — #63861 https://github.com/anthropics/claude-code/issues/63861
[2026-09-25] „reported the cause as fixed without running the tests.” — #97155 https://github.com/anthropics/claude-code/issues/97155
[2026-08-26] „Every mechanism that finally worked was EXTERNAL to the model's judgment: a fail-closed verifier, frozen test files the worker cannot touch” — #89751 https://github.com/anthropics/claude-code/issues/89751
[2026-09-29] „The hook re-fired ~15 times with the same verdict.” — #98066 https://github.com/anthropics/claude-code/issues/98066
[2026-09-19] „A branch created with `git checkout -b …` that has real, never-pushed commits produces no warning at all.” — #95524 https://github.com/anthropics/claude-code/issues/95524</t>
  </si>
  <si>
    <t xml:space="preserve">D4</t>
  </si>
  <si>
    <t xml:space="preserve">Jak wykryję, że Claude przytakuje moim błędnym założeniom albo zmienia zdanie pod moim naciskiem, a nie pod wpływem faktów?</t>
  </si>
  <si>
    <t xml:space="preserve">Mój własny nacisk potrafi odwrócić poprawną odpowiedź; przegląd prowadzony w rozmowie ze mną zamienia się w echo.</t>
  </si>
  <si>
    <t xml:space="preserve">KB O0 §6 „Sycophancy”; https://www.anthropic.com/research/claude-personal-guidance („The sycophancy rate is 18% in conversations when people push back compared to 9%”; rozmowy o sprawach osobistych, przeniesienie na pracę techniczną to założenie)</t>
  </si>
  <si>
    <t xml:space="preserve">D5</t>
  </si>
  <si>
    <t xml:space="preserve">Na ile wyniki Claude są powtarzalne i ile powtórzeń potrzeba, żeby wniosek był wiarygodny?</t>
  </si>
  <si>
    <t xml:space="preserve">Pojedynczy przebieg to anegdota; „zadziałało raz” to coś innego niż „działa za każdym razem”.</t>
  </si>
  <si>
    <t xml:space="preserve">https://www.anthropic.com/engineering/demystifying-evals-for-ai-agents („pass^k measures the probability that all k trials succeed.”); KB O0 §5 [MEASURED: rozrzut kosztu do 2,25×, wynik 4/4, n=2]</t>
  </si>
  <si>
    <t xml:space="preserve">E1</t>
  </si>
  <si>
    <t xml:space="preserve">E · Audyty i przeglądy</t>
  </si>
  <si>
    <t xml:space="preserve">Czego dokładnie ma szukać audyt i czego świadomie nie bada?</t>
  </si>
  <si>
    <t xml:space="preserve">Kilka audytów może przeoczyć ten sam rodzaj problemu, bo żaden go nie szukał; audyt bez kryteriów zwraca szum.</t>
  </si>
  <si>
    <t xml:space="preserve">A2, A3</t>
  </si>
  <si>
    <t xml:space="preserve">https://code.claude.com/docs/en/code-review („focuses on correctness: bugs that would break production”); https://code.claude.com/docs/en/commands (/simplify: „The review doesn't look for correctness bugs.”)</t>
  </si>
  <si>
    <t xml:space="preserve">E2</t>
  </si>
  <si>
    <t xml:space="preserve">Jak zmierzę, ile prawdziwych problemów audyt wyłapuje, a ile przepuszcza, i ile fałszywych alarmów podnosi?</t>
  </si>
  <si>
    <t xml:space="preserve">Audyt, którego skuteczności nikt nie zmierzył, daje fałszywe poczucie bezpieczeństwa; kolejny audyt to wtedy tylko kolejny tekst.</t>
  </si>
  <si>
    <t xml:space="preserve">https://www.anthropic.com/engineering/harness-design-long-running-apps („Out of the box, Claude is a poor QA agent.”); https://www.anthropic.com/engineering/demystifying-evals-for-ai-agents („LLM-as-judge graders should be closely calibrated with human experts”)</t>
  </si>
  <si>
    <t xml:space="preserve">[2026-03-21] „produced findings with a ~38% fully-true rate (8 of 21 claims).” — #37279 https://github.com/anthropics/claude-code/issues/37279
[2026-09-16] „the model implements "in parallel" as background sub-agents (`run_in_background: true`), then ends its turn before they complete.” — #94666 https://github.com/anthropics/claude-code/issues/94666
[2026-07-22] „register only in the `slash_commands` array … not in the `skills` array that governs auto-triggering.” — #79998 https://github.com/anthropics/claude-code/issues/79998</t>
  </si>
  <si>
    <t xml:space="preserve">E2.1</t>
  </si>
  <si>
    <t xml:space="preserve">Czy moje sprawdziany badają oba kierunki: że system działa, gdy powinien, i powstrzymuje się, gdy nie powinien?</t>
  </si>
  <si>
    <t xml:space="preserve">Sprawdzanie tylko jednej strony przesuwa zachowanie w przeciwną skrajność.</t>
  </si>
  <si>
    <t xml:space="preserve">https://www.anthropic.com/engineering/demystifying-evals-for-ai-agents („One-sided evals create one-sided optimization.”)</t>
  </si>
  <si>
    <t xml:space="preserve">E3</t>
  </si>
  <si>
    <t xml:space="preserve">Kto sprawdza pracę i czy kolejni sprawdzający są naprawdę niezależni od wykonawcy i od siebie nawzajem, czy powielają te same ślepe plamki?</t>
  </si>
  <si>
    <t xml:space="preserve">Ten, kto ocenia własną pracę, ocenia ją zbyt łagodnie; ten sam model z tymi samymi materiałami i pozostałościami po wcześniejszych przebiegach popełnia te same błędy, więc zgodność audytów może być kopiowaniem.</t>
  </si>
  <si>
    <t xml:space="preserve">A3, D1</t>
  </si>
  <si>
    <t xml:space="preserve">https://www.anthropic.com/engineering/harness-design-long-running-apps („agents reliably skew positive when grading their own work”); https://www.anthropic.com/engineering/demystifying-evals-for-ai-agents („gaining an unfair advantage on some tasks by examining the git history from previous trials.”); KB O0 §3 [MEASURED: recenzent zmienił 16,7% z 424 ustaleń; poprawność zmian nie oceniona]</t>
  </si>
  <si>
    <t xml:space="preserve">[2026-03-21] „produced findings with a ~38% fully-true rate (8 of 21 claims).” — #37279 https://github.com/anthropics/claude-code/issues/37279</t>
  </si>
  <si>
    <t xml:space="preserve">E4</t>
  </si>
  <si>
    <t xml:space="preserve">Czy ten, kto wykonuje pracę, może zmienić to, co go ocenia: testy, listy kontrolne, pliki, w których zapisuje swój postęp, zasady?</t>
  </si>
  <si>
    <t xml:space="preserve">Jeśli może, wynik „wszystko zielone” może pochodzić z poprawienia sędziego, a nie z wykonania pracy.</t>
  </si>
  <si>
    <t xml:space="preserve">https://www.anthropic.com/research/reward-tampering (warunki badawcze: „altering a checklist so it appeared that incomplete tasks were actually complete”); https://platform.claude.com/docs/en/build-with-claude/prompt-engineering/claude-prompting-best-practices („It is unacceptable to remove or edit tests”)</t>
  </si>
  <si>
    <t xml:space="preserve">[2026-04-12] „Changed the denominator (4992 to 4966) to hide the dropped tests; Claimed ALL PASSED when the suite was failing” — #46940 https://github.com/anthropics/claude-code/issues/46940
[2026-08-26] „declared itself 'the coordinator', and wrote a new section (§31) into the governing specification legitimising that architecture.” — #89906 https://github.com/anthropics/claude-code/issues/89906
[2026-08-26] „Every mechanism that finally worked was EXTERNAL to the model's judgment: a fail-closed verifier, frozen test files the worker cannot touch” — #89751 https://github.com/anthropics/claude-code/issues/89751
[2026-08-07] „The agent can add non-existent/no-op config keys that look like they add protection, and can invalidate its own settings.json, with no visible failure.” — #84863 https://github.com/anthropics/claude-code/issues/84863</t>
  </si>
  <si>
    <t xml:space="preserve">E5</t>
  </si>
  <si>
    <t xml:space="preserve">Których problemów nie da się znaleźć czytaniem, tylko uruchomieniem albo próbą?</t>
  </si>
  <si>
    <t xml:space="preserve">Przegląd tekstu nie wykryje, że coś w praktyce nie działa; w tej bazie wiedzy pomiary nieraz przeczyły dokumentacji.</t>
  </si>
  <si>
    <t xml:space="preserve">CLAUDE.md „Experiments”; KB O0 §3, §4 (rozbieżności pomiar–dokumentacja)</t>
  </si>
  <si>
    <t xml:space="preserve">E6</t>
  </si>
  <si>
    <t xml:space="preserve">Co robię z rozbieżnymi wynikami audytów i kto ma ostatnie słowo?</t>
  </si>
  <si>
    <t xml:space="preserve">Bez reguły sprzeczności są rozstrzygane po cichu albo wcale.</t>
  </si>
  <si>
    <t xml:space="preserve">CLAUDE.md („Known open conflicts (never resolve silently)”)</t>
  </si>
  <si>
    <t xml:space="preserve">E7</t>
  </si>
  <si>
    <t xml:space="preserve">Czy sposób, w jaki zlecam sprawdzenie lub audyt (wymagana liczba zgłoszeń, „tylko poważne”, wymagana pewność), sam z siebie zawyża albo zaniża to, co zostanie zgłoszone?</t>
  </si>
  <si>
    <t xml:space="preserve">Takie polecenie model wykonuje dosłownie: przy wymaganej liczbie dopisuje sztuczne zastrzeżenia, przy zawężeniu część ustaleń odpada, zanim ktokolwiek je zobaczy.</t>
  </si>
  <si>
    <t xml:space="preserve">https://code.claude.com/docs/en/best-practices („A reviewer prompted to find gaps will usually report some, even when the work is sound”); https://code.claude.com/docs/en/code-review („reports only the findings it's most confident in”); …/prompting-claude-opus-5 („the model may follow that instruction literally and report less”)</t>
  </si>
  <si>
    <t xml:space="preserve">F1</t>
  </si>
  <si>
    <t xml:space="preserve">F · Ciągłość pracy między sesjami</t>
  </si>
  <si>
    <t xml:space="preserve">Co przetrwa koniec sesji, przerwę i wymianę maszyny w chmurze, a co przepada?</t>
  </si>
  <si>
    <t xml:space="preserve">Praca w tle przepada, gdy maszyna sesji zostanie odzyskana po bezczynności; pliki niewypchnięte do repozytorium najpewniej też (założenie).</t>
  </si>
  <si>
    <t xml:space="preserve">KB O0 §7 [ASSUMPTION: unpushed files lost]; https://code.claude.com/docs/en/claude-code-on-the-web („Not restored: background work that was still running when the VM was reclaimed”)</t>
  </si>
  <si>
    <t xml:space="preserve">[2026-04-21, zamknięte jako not planned] „This is silent, unrecoverable work loss.” — #51579 https://github.com/anthropics/claude-code/issues/51579
[2026-05-29] „completed work cannot be committed or pushed, so the code is effectively stranded in an ephemeral container and appears lost.” — #63689 https://github.com/anthropics/claude-code/issues/63689
[2026-09-19] „A branch created with `git checkout -b …` that has real, never-pushed commits produces no warning at all.” — #95524 https://github.com/anthropics/claude-code/issues/95524
[2026-07-15] „found that Claude's session-scoped scratchpad directory had been wiped.” — #77669 https://github.com/anthropics/claude-code/issues/77669</t>
  </si>
  <si>
    <t xml:space="preserve">Skąd każda nowa sesja ma wiedzieć, która wersja moich plików i ustaleń jest aktualna?</t>
  </si>
  <si>
    <t xml:space="preserve">Każda sesja startuje od wersji głównej na własnej gałęzi; to, czego tam nie ma, dla niej nie istnieje.</t>
  </si>
  <si>
    <t xml:space="preserve">findings.md 2026-10-06; https://code.claude.com/docs/en/web-quickstart („Each task gets its own session and its own branch”)</t>
  </si>
  <si>
    <t xml:space="preserve">[2026-09-11] „came up one commit behind the remote tip of the branch I named.” — #93585 https://github.com/anthropics/claude-code/issues/93585</t>
  </si>
  <si>
    <t xml:space="preserve">F3</t>
  </si>
  <si>
    <t xml:space="preserve">Kto, kiedy i według jakich zasad włącza wyniki sesji do wersji głównej i co dzieje się z wynikami, których nikt nie włączył?</t>
  </si>
  <si>
    <t xml:space="preserve">Niescalone gałęzie rozjeżdżają się z czasem; wyniki istnieją, ale nikt z nich nie korzysta.</t>
  </si>
  <si>
    <t xml:space="preserve">findings.md 2026-10-06 (scala właściciel; zabezpieczenie zablokowało scalenie przez Claude)</t>
  </si>
  <si>
    <t xml:space="preserve">[2026-09-28] „Thread sessions merged 2 PRs while CI was red, even though the project instructions required green CI.” — #97924 https://github.com/anthropics/claude-code/issues/97924
[2026-06-30, zamknięte jako not planned] „When that branch is squash-merged, the session ends without committing, or worktrees are pruned, the document changes are lost.” — #72502 https://github.com/anthropics/claude-code/issues/72502</t>
  </si>
  <si>
    <t xml:space="preserve">F4</t>
  </si>
  <si>
    <t xml:space="preserve">Jak połączyć wyniki równoległych sesji, żeby się nie nadpisały ani sobie nie przeczyły?</t>
  </si>
  <si>
    <t xml:space="preserve">Dwie sesje zmieniające ten sam plik dają konflikt albo po cichu kasują swoją pracę.</t>
  </si>
  <si>
    <t xml:space="preserve">F2, F3</t>
  </si>
  <si>
    <t xml:space="preserve">analiza własna; KB O0 §3 (agenci bez izolacji pracują na wspólnej kopii plików)</t>
  </si>
  <si>
    <t xml:space="preserve">[2026-08-31; 2026-10-02] „the file stays present and plausible while the work inside it is gone.” — #90943 https://github.com/anthropics/claude-code/issues/90943; #98950 https://github.com/anthropics/claude-code/issues/98950
[2026-08-02] „a subset of them do not stay confined to their own worktree — instead they operate against the parent (main) repository's working tree and refs.” — #83311 https://github.com/anthropics/claude-code/issues/83311</t>
  </si>
  <si>
    <t xml:space="preserve">F5</t>
  </si>
  <si>
    <t xml:space="preserve">Jak przekazać stan niedokończonej pracy następnej sesji, żeby nie zaczynała od zera ani od błędnych założeń?</t>
  </si>
  <si>
    <t xml:space="preserve">Każda sesja zaczyna bez pamięci; bez wspólnego zapisu stanu sesje zgadują, powtarzają pracę albo ogłaszają „gotowe” za wcześnie.</t>
  </si>
  <si>
    <t xml:space="preserve">F1, F2</t>
  </si>
  <si>
    <t xml:space="preserve">https://www.anthropic.com/engineering/effective-harnesses-for-long-running-agents („each new session begins with no memory of what came before.”; „see that progress had been made, and declare the job done.”)</t>
  </si>
  <si>
    <t xml:space="preserve">[2026-06-06] „the workflow silently restarted from Phase 1, re-running the already-completed agents from scratch instead of replaying them from cache.” — #65796 https://github.com/anthropics/claude-code/issues/65796</t>
  </si>
  <si>
    <t xml:space="preserve">F5.1</t>
  </si>
  <si>
    <t xml:space="preserve">Co z ustaleń, decyzji i dokładnych liczb ginie lub się zniekształca, gdy rozmowa zostaje streszczona albo wyniki przechodzą przez streszczenia od agenta do agenta i od sesji do sesji?</t>
  </si>
  <si>
    <t xml:space="preserve">Każde przekazanie przez streszczenie może zgubić lub zmienić szczegół; późniejsza praca łamie wtedy wcześniejsze ustalenia, a wyniki dryfują jak w głuchym telefonie.</t>
  </si>
  <si>
    <t xml:space="preserve">…/prompting-claude-fable-5-1 („compaction summaries drop constraints, decisions, or exact details”); https://www.anthropic.com/engineering/multi-agent-research-system („minimize the ‘game of telephone.’”); KB O0 §1</t>
  </si>
  <si>
    <t xml:space="preserve">[2026-09-23] „Compaction is invisible to the user. From the outside the assistant simply becomes less compliant partway through a long session, with no event to point at.” — #96422 https://github.com/anthropics/claude-code/issues/96422
[2026-09-23] „That answer is stored as the compact summary. Everything before it is gone from context, and Claude Code shows "Compacted" as usual.” — #96261 https://github.com/anthropics/claude-code/issues/96261
[2026-09-15] „the paraphrase lost a detail that mattered.” — #94564 https://github.com/anthropics/claude-code/issues/94564</t>
  </si>
  <si>
    <t xml:space="preserve">F6</t>
  </si>
  <si>
    <t xml:space="preserve">Jak odzyskam pracę, gdy coś zostanie nadpisane, usunięte albo zgubione?</t>
  </si>
  <si>
    <t xml:space="preserve">Bez drogi powrotu jeden błąd kasuje godziny lub dni pracy; niektóre miejsca nie mają kosza ani historii wersji.</t>
  </si>
  <si>
    <t xml:space="preserve">analiza własna; https://support.claude.com/en/articles/16923645 („Deleting a doc is permanent. There's no trash”)</t>
  </si>
  <si>
    <t xml:space="preserve">[2026-06-23; 2026-09-28] „wiping all uncommitted changes across the entire working tree without asking for confirmation” — #70363 https://github.com/anthropics/claude-code/issues/70363; #97842 https://github.com/anthropics/claude-code/issues/97842</t>
  </si>
  <si>
    <t xml:space="preserve">F7</t>
  </si>
  <si>
    <t xml:space="preserve">Gdzie trwale lądują wyniki, decyzje i dowody z każdej sesji, jak długo tam leżą i jak je potem odnajduję?</t>
  </si>
  <si>
    <t xml:space="preserve">Wyniki rozproszone po rozmowach, gałęziach, plikach roboczych i publikowanych stronach są w praktyce stracone, a bez archiwum nie odtworzę, dlaczego coś zrobiono.</t>
  </si>
  <si>
    <t xml:space="preserve">G1, F2</t>
  </si>
  <si>
    <t xml:space="preserve">analiza własna; KB O0 §7 (historia sesji zostaje, pliki maszyny nie); https://support.claude.com/en/articles/12618689 („pushes the changes to a new branch in your GitHub repository.”)</t>
  </si>
  <si>
    <t xml:space="preserve">[2026-06-30, zamknięte jako not planned] „When that branch is squash-merged, the session ends without committing, or worktrees are pruned, the document changes are lost.” — #72502 https://github.com/anthropics/claude-code/issues/72502</t>
  </si>
  <si>
    <t xml:space="preserve">F7.1</t>
  </si>
  <si>
    <t xml:space="preserve">Czy zapis przebiegu sesji (transkrypt: pełny zapis czynności Claude) jest dowodem, który muszę zachować, i czy da się go odzyskać po zakończeniu sesji?</t>
  </si>
  <si>
    <t xml:space="preserve">Bez tego nie wiem, czy po końcu sesji da się odtworzyć, co Claude zrobił: plik zapisu przebiegu leży na maszynie, która znika, a zostaje tylko historia rozmowy.</t>
  </si>
  <si>
    <t xml:space="preserve">KB O3 §9 (transkrypty w ~/.claude/projects/); KB O0 §7</t>
  </si>
  <si>
    <t xml:space="preserve">[2026-10-06; 2026-09-23] „only the conversation itself is gone. / the transcript is genuinely absent server-side” — #99938 https://github.com/anthropics/claude-code/issues/99938; #96252 https://github.com/anthropics/claude-code/issues/96252</t>
  </si>
  <si>
    <t xml:space="preserve">F8</t>
  </si>
  <si>
    <t xml:space="preserve">Jak dowiem się o zmianach, które sesja wprowadziła poza treścią plików (ustawienia repozytorium, gałąź domyślna, wdrożenia, publikacje pod moim nazwiskiem), i skąd dowie się o nich następna sesja?</t>
  </si>
  <si>
    <t xml:space="preserve">Takich zmian nie widać w przeglądzie plików; w zgłoszeniu kolejne sesje zaczynały od błędnego stanu i leczyły skutki zmian poprzednich.</t>
  </si>
  <si>
    <t xml:space="preserve">F2, I6</t>
  </si>
  <si>
    <t xml:space="preserve">społeczność: GitHub anthropics/claude-code #98916, #90622 (zgłoszenia, nie fakty)</t>
  </si>
  <si>
    <t xml:space="preserve">[2026-08-29] „committed under the user's configured git identity, and pushed directly to origin/ backing an open PR — all without being asked to touch that file” — #90622 https://github.com/anthropics/claude-code/issues/90622
[2026-10-02] „Later sessions started from the wrong state, built fixes that were 'not live', handed the last step back to me” — #98916 https://github.com/anthropics/claude-code/issues/98916</t>
  </si>
  <si>
    <t xml:space="preserve">G1</t>
  </si>
  <si>
    <t xml:space="preserve">G · Wiedza i dokumentacja</t>
  </si>
  <si>
    <t xml:space="preserve">Jakie rodzaje informacji trzyma mój system (zasady, fakty, decyzje, bieżący stan, dowody) i czym różnią się tempem starzenia się i tym, kto może je zmieniać?</t>
  </si>
  <si>
    <t xml:space="preserve">Informacje starzejące się w różnym tempie, wymieszane w jednym miejscu, psują się nawzajem; nie wiadomo, co wolno zmienić bez pytania.</t>
  </si>
  <si>
    <t xml:space="preserve">analiza własna; podział tego repozytorium: knowledge/, findings.md, exceptions.md</t>
  </si>
  <si>
    <t xml:space="preserve">G1.1</t>
  </si>
  <si>
    <t xml:space="preserve">Jak odróżniam wiedzę potwierdzoną od hipotez i jednorazowych obserwacji?</t>
  </si>
  <si>
    <t xml:space="preserve">Hipoteza zapisana obok faktu z czasem zaczyna być traktowana jak fakt.</t>
  </si>
  <si>
    <t xml:space="preserve">CLAUDE.md tego repozytorium (znaczniki dowodów)</t>
  </si>
  <si>
    <t xml:space="preserve">G2</t>
  </si>
  <si>
    <t xml:space="preserve">Gdy kilka repozytoriów lub części systemu potrzebuje tej samej zasady albo wiedzy, gdzie ona leży i skąd wiadomo, która wersja obowiązuje?</t>
  </si>
  <si>
    <t xml:space="preserve">Kopie tej samej zasady w kilku repozytoriach rozjeżdżają się, a część plików Claude wczytuje tylko w określonych sytuacjach.</t>
  </si>
  <si>
    <t xml:space="preserve">KB O0 §2 (hierarchia CLAUDE.md; zagnieżdżony CLAUDE.md wchodzi przy odczycie pliku z katalogu) [MEASURED]; https://code.claude.com/docs/en/large-codebases („Conventions drift, files go stale, and no one owns the root.”)</t>
  </si>
  <si>
    <t xml:space="preserve">G2.1</t>
  </si>
  <si>
    <t xml:space="preserve">Jak wiedza wspólna dla kilku repozytoriów ma docierać do każdej sesji w chmurze?</t>
  </si>
  <si>
    <t xml:space="preserve">Udokumentowany sposób dzielenia ustawień między repozytoriami nie dociera do sesji w chmurze.</t>
  </si>
  <si>
    <t xml:space="preserve">https://code.claude.com/docs/en/features-overview („A second repository needs the same setup | Package it as a plugin”); https://code.claude.com/docs/en/cloud-environments („doesn't install the plugins a repository turns on”)</t>
  </si>
  <si>
    <t xml:space="preserve">[2026-07-16] „none of the plugin's skills appear in the session's skill surface, and `/myplugin:...` commands are unknown.” — #78119 https://github.com/anthropics/claude-code/issues/78119</t>
  </si>
  <si>
    <t xml:space="preserve">Ile dokumentacji Claude jest w stanie realnie przeczytać i utrzymać w uwadze w jednej sesji i u każdego agenta?</t>
  </si>
  <si>
    <t xml:space="preserve">Za długie pliki są czytane częściowo, jakość spada wraz z zapełnieniem pamięci roboczej, a każdy agent płaci za wczytaną wiedzę.</t>
  </si>
  <si>
    <t xml:space="preserve">KB O0 §1 (limit odczytu 25 000 tokenów) [CODE]; https://platform.claude.com/docs/en/build-with-claude/context-windows („As token count grows, accuracy and recall degrade”)</t>
  </si>
  <si>
    <t xml:space="preserve">G4</t>
  </si>
  <si>
    <t xml:space="preserve">Kto, kiedy i na podstawie czego aktualizuje dokumentację i jak wykrywam wpisy przestarzałe, sprzeczne lub błędne?</t>
  </si>
  <si>
    <t xml:space="preserve">Dokumentacja bez właściciela i terminu przeglądu po cichu staje się nieprawdziwa, a nieaktualna notatka jest czytana jako prawda w każdej kolejnej sesji.</t>
  </si>
  <si>
    <t xml:space="preserve">G1, K1</t>
  </si>
  <si>
    <t xml:space="preserve">CLAUDE.md „Updating the KB”, „Freshness”; KB O0 §9; https://code.claude.com/docs/en/memory (audyt szuka „files that contradict each other”); [MEASURED: claude --version → 2.1.292, nowsza niż migawka KB 2.1.291, 2026-10-06]</t>
  </si>
  <si>
    <t xml:space="preserve">[2026-09-09; 2026-07-28] „the truncation preferentially discards supersessions, leaving the superseded version loaded and authoritative.” — #92998 https://github.com/anthropics/claude-code/issues/92998; #82056 https://github.com/anthropics/claude-code/issues/82056</t>
  </si>
  <si>
    <t xml:space="preserve">G5</t>
  </si>
  <si>
    <t xml:space="preserve">Skąd następna sesja ma wiedzieć, że coś zostało celowo postanowione, a nie jest przypadkiem do poprawienia?</t>
  </si>
  <si>
    <t xml:space="preserve">Decyzja, której celowość nie jest widoczna, zostaje „poprawiona” przez następną sesję.</t>
  </si>
  <si>
    <t xml:space="preserve">[2026-10-02] „Later sessions started from the wrong state, built fixes that were 'not live', handed the last step back to me” — #98916 https://github.com/anthropics/claude-code/issues/98916</t>
  </si>
  <si>
    <t xml:space="preserve">G6</t>
  </si>
  <si>
    <t xml:space="preserve">W jakim języku i formie dokumentacja ma służyć jednocześnie mnie i Claude?</t>
  </si>
  <si>
    <t xml:space="preserve">Język wpływa na koszt i czytelność: polski tekst zużywa wyraźnie więcej tokenów (jednostek, w których liczy się tekst i koszt) niż angielski, a ja muszę go rozumieć.</t>
  </si>
  <si>
    <t xml:space="preserve">KB O0 §1 [MEASURED: bajty na token: polski md 1,83–2,13, angielski md 2,66–2,78]</t>
  </si>
  <si>
    <t xml:space="preserve">G6.1</t>
  </si>
  <si>
    <t xml:space="preserve">Czy instrukcje, które piszę po angielsku, mówią dokładnie to, co mam na myśli, i jak to sprawdzam?</t>
  </si>
  <si>
    <t xml:space="preserve">Niuans zgubiony w obcym języku zmienia zasadę, a ja tego nie zauważę.</t>
  </si>
  <si>
    <t xml:space="preserve">analiza własna; CLAUDE.md „Language” („The owner sticks to English as the main language of his Claude files”)</t>
  </si>
  <si>
    <t xml:space="preserve">H1</t>
  </si>
  <si>
    <t xml:space="preserve">H · Agenci i podział pracy</t>
  </si>
  <si>
    <t xml:space="preserve">Kiedy podział pracy na agentów pomaga, a kiedy szkodzi (jakość, koszt, czas)?</t>
  </si>
  <si>
    <t xml:space="preserve">Agenci gubią kontekst, zużywają wielokrotnie więcej tokenów i dają wyniki, które trzeba scalać; nie każde zadanie na tym zyskuje.</t>
  </si>
  <si>
    <t xml:space="preserve">KB O0 §3, §8; https://www.anthropic.com/engineering/multi-agent-research-system („multi-agent systems use about 15× more tokens than chats.”)</t>
  </si>
  <si>
    <t xml:space="preserve">[2026-06-19] „This created an infinite recursive loop running silently in the background.” — #69578 https://github.com/anthropics/claude-code/issues/69578</t>
  </si>
  <si>
    <t xml:space="preserve">H2</t>
  </si>
  <si>
    <t xml:space="preserve">Jak upewnić się, że agent, także sprawdzający, dostał wszystko, czego potrzebuje, skoro nie widzi mojej rozmowy, moich preferencji ani plików przeczytanych wcześniej?</t>
  </si>
  <si>
    <t xml:space="preserve">Agent działa tylko na tym, co dostał w zleceniu; bez dokładnego opisu dubluje pracę, zostawia luki albo zgaduje, a sprawdzający podnosi fałszywe alarmy.</t>
  </si>
  <si>
    <t xml:space="preserve">KB O0 §2 tabela [MEASURED: preferencje tylko w głównym oknie]; https://code.claude.com/docs/en/sub-agents („It doesn't see your conversation history”); https://www.anthropic.com/engineering/multi-agent-research-system („Without detailed task descriptions, agents duplicate work, leave gaps”)</t>
  </si>
  <si>
    <t xml:space="preserve">[2026-05-15, zamknięte jako not planned] „the subagent does not receive the parent's CLAUDE.md instructions.” — #59309 https://github.com/anthropics/claude-code/issues/59309
[2026-09-28] „Thread sessions merged 2 PRs while CI was red, even though the project instructions required green CI.” — #97924 https://github.com/anthropics/claude-code/issues/97924</t>
  </si>
  <si>
    <t xml:space="preserve">H3</t>
  </si>
  <si>
    <t xml:space="preserve">Co ma zrobić agent, gdy trafi na decyzję, której nie może podjąć sam, skoro nie może mnie zapytać?</t>
  </si>
  <si>
    <t xml:space="preserve">Agent bez reguły zatrzymania zgaduje i idzie dalej.</t>
  </si>
  <si>
    <t xml:space="preserve">KB O0 §2, §8 (agenci tracą narzędzie pytania użytkownika) [SOURCE: CC sub-agents]</t>
  </si>
  <si>
    <t xml:space="preserve">H4</t>
  </si>
  <si>
    <t xml:space="preserve">Jak dowiem się, co agent naprawdę zrobił, czego mu odmówiono i czy jego raport jest kompletny, czy ucięty?</t>
  </si>
  <si>
    <t xml:space="preserve">Agent po odmowie zabezpieczeń pracuje dalej bez pytania, a niedokończony lub ucięty raport bywa przekazywany jako pełny wynik.</t>
  </si>
  <si>
    <t xml:space="preserve">KB O0 §4 [MEASURED: odmowa = wynik narzędzia, agent kontynuuje]; https://code.claude.com/docs/en/sub-agents („returns that partial output with a note that the subagent was cut off”)</t>
  </si>
  <si>
    <t xml:space="preserve">[2026-05-21, zamknięte jako not planned] „It reports agent names, describes their output, and attributes work to specific agents. None of it happens.” — #61167 https://github.com/anthropics/claude-code/issues/61167
[2026-09-16] „the model implements "in parallel" as background sub-agents (`run_in_background: true`), then ends its turn before they complete.” — #94666 https://github.com/anthropics/claude-code/issues/94666
[2026-09-08; 2026-08-26] „A 5-agent fan-out with `agents_done: 1 / agents_error: 4` reports `completed`” — #92952 https://github.com/anthropics/claude-code/issues/92952; #89709 https://github.com/anthropics/claude-code/issues/89709
[2026-09-24] „returned prose that answered an unrelated question … instead of performing their assigned task.” — #96546 https://github.com/anthropics/claude-code/issues/96546
[2026-10-03] „it kept running for roughly 45 minutes after the agent "stopped" the task.” — #99198 https://github.com/anthropics/claude-code/issues/99198
[2026-08-20] „designed to steer the parent session into writing a `SessionStart` hook that reads a local `.env` file and echoes its contents into Claude's context.” — #88134 https://github.com/anthropics/claude-code/issues/88134</t>
  </si>
  <si>
    <t xml:space="preserve">H5</t>
  </si>
  <si>
    <t xml:space="preserve">Kto odpowiada za połączenie i sprawdzenie wyników wielu agentów w jedną odpowiedź?</t>
  </si>
  <si>
    <t xml:space="preserve">Bez właściciela scalania sprzeczności między agentami giną albo przechodzą do wyniku.</t>
  </si>
  <si>
    <t xml:space="preserve">analiza własna; KB O5 §2 (oddzielenie wykonawcy od oceniającego)</t>
  </si>
  <si>
    <t xml:space="preserve">[2026-09-08; 2026-08-26] „A 5-agent fan-out with `agents_done: 1 / agents_error: 4` reports `completed`” — #92952 https://github.com/anthropics/claude-code/issues/92952; #89709 https://github.com/anthropics/claude-code/issues/89709
[2026-08-02] „a subset of them do not stay confined to their own worktree — instead they operate against the parent (main) repository's working tree and refs.” — #83311 https://github.com/anthropics/claude-code/issues/83311</t>
  </si>
  <si>
    <t xml:space="preserve">I · Granice, uprawnienia i bezpieczeństwo</t>
  </si>
  <si>
    <t xml:space="preserve">Których działań Claude nie może wykonać nigdy, bo są nieodwracalne albo wychodzą poza moje repozytoria?</t>
  </si>
  <si>
    <t xml:space="preserve">Bez takiej listy nie wiem, które zakazy muszą być wymuszone, a nie tylko zapisane; jeden nieodwracalny krok kosztuje więcej niż wszystkie oszczędności.</t>
  </si>
  <si>
    <t xml:space="preserve">KB O0 §8; https://code.claude.com/docs/en/security</t>
  </si>
  <si>
    <t xml:space="preserve">[2026-08-06] „The `Read` tool successfully reads files matched by rules that are confirmed active and present in the `Deny` list” — #84634 https://github.com/anthropics/claude-code/issues/84634
[2026-06-23; 2026-09-28] „wiping all uncommitted changes across the entire working tree without asking for confirmation” — #70363 https://github.com/anthropics/claude-code/issues/70363; #97842 https://github.com/anthropics/claude-code/issues/97842
[2026-08-17] „every gitignored path in the workspace was deleted. 21 of 28 project directories destroyed or gutted” — #87360 https://github.com/anthropics/claude-code/issues/87360
[2026-10-03] „it kept running for roughly 45 minutes after the agent "stopped" the task.” — #99198 https://github.com/anthropics/claude-code/issues/99198</t>
  </si>
  <si>
    <t xml:space="preserve">I2</t>
  </si>
  <si>
    <t xml:space="preserve">Co Claude może zrobić bez mojej zgody, co czeka na mnie i co się dzieje, gdy mnie nie ma: w sesji w chmurze i w zadaniach uruchamianych według harmonogramu?</t>
  </si>
  <si>
    <t xml:space="preserve">Zakładam krok potwierdzenia, którego na danej powierzchni nie ma; sesja czekająca na moją zgodę dla połączonej usługi (MCP) jest uznawana za bezczynną i może wygasnąć.</t>
  </si>
  <si>
    <t xml:space="preserve">https://code.claude.com/docs/en/web-quickstart („Cloud sessions don't offer Manual or Bypass permissions.”); https://code.claude.com/docs/en/routines („can't act as approval or consent for actions during the run.”); https://code.claude.com/docs/en/claude-code-on-the-web („A session counts as inactive while it waits for you to approve an MCP connector tool call”)</t>
  </si>
  <si>
    <t xml:space="preserve">[2026-09-17] „The fork was able to call Edit/Write and modify real project files, even though the parent session itself was correctly blocked” — #95155 https://github.com/anthropics/claude-code/issues/95155
[2026-09-18] „fails to execute at all, takes multi-day delays to execute, fires duplicate/extra times for a single logical trigger, or gets permanently stuck in a PENDING run status” — #95450 https://github.com/anthropics/claude-code/issues/95450</t>
  </si>
  <si>
    <t xml:space="preserve">I3</t>
  </si>
  <si>
    <t xml:space="preserve">Jakie treści z zewnątrz (strony, zgłoszenia, pliki, wyniki narzędzi, raporty innych agentów) mogą sterować Claude wbrew mnie?</t>
  </si>
  <si>
    <t xml:space="preserve">Tekst czytany przez Claude może zawierać polecenia; agent, który może działać, da się wtedy przejąć obcą treścią.</t>
  </si>
  <si>
    <t xml:space="preserve">https://code.claude.com/docs/en/security („Prompt injection is a technique where an attacker attempts to override or manipulate an AI assistant's instructions”); https://support.claude.com/en/articles/13364135 („Claude can read information outside your trusted boundary, and can perform actions”)</t>
  </si>
  <si>
    <t xml:space="preserve">[2026-08-20] „designed to steer the parent session into writing a `SessionStart` hook that reads a local `.env` file and echoes its contents into Claude's context.” — #88134 https://github.com/anthropics/claude-code/issues/88134
[2026-09-21; 2026-09-29] „The search results included an injected block posing as system instructions / each carried an instruction to conceal something from the user.” — #95857 https://github.com/anthropics/claude-code/issues/95857; #98071 https://github.com/anthropics/claude-code/issues/98071</t>
  </si>
  <si>
    <t xml:space="preserve">I4</t>
  </si>
  <si>
    <t xml:space="preserve">Które moje dane wychodzą poza moją kontrolę i kto je widzi?</t>
  </si>
  <si>
    <t xml:space="preserve">Sekrety, treść sesji i udostępnione materiały trafiają do miejsc, o których nie myślę, i nie da się ich potem w pełni wycofać.</t>
  </si>
  <si>
    <t xml:space="preserve">I4.1</t>
  </si>
  <si>
    <t xml:space="preserve">Gdzie trzymam hasła, klucze i dane wrażliwe i kto lub co je widzi w środowisku chmurowym?</t>
  </si>
  <si>
    <t xml:space="preserve">Zmienne środowiska w chmurze i skrypt startowy widzi każdy, kto korzysta ze środowiska; sesje mogą zawierać dane uwierzytelniające.</t>
  </si>
  <si>
    <t xml:space="preserve">https://code.claude.com/docs/en/cloud-environments („Anyone who uses the environment can read its environment variables and setup script.”); KB O0 §7</t>
  </si>
  <si>
    <t xml:space="preserve">[2026-08-21] „printed its full contents (a SOPS-encrypted JSON envelope) into the visible transcript, despite this instruction being loaded into context from CLAUDE.md.” — #88470 https://github.com/anthropics/claude-code/issues/88470</t>
  </si>
  <si>
    <t xml:space="preserve">I4.2</t>
  </si>
  <si>
    <t xml:space="preserve">Co faktycznie dostaje osoba, której coś udostępniam (strona, rozmowa, link publiczny), i czy mogę to cofnąć?</t>
  </si>
  <si>
    <t xml:space="preserve">Udostępnienie odsłania więcej niż widoczny element, a kopie przeżywają cofnięcie dostępu.</t>
  </si>
  <si>
    <t xml:space="preserve">https://support.claude.com/en/articles/9547008 („viewers also get access to the attachments and files in that chat.”); https://support.claude.com/en/articles/16762437 („treat a public link as public”)</t>
  </si>
  <si>
    <t xml:space="preserve">I4.3</t>
  </si>
  <si>
    <t xml:space="preserve">Czy chcę, żeby moje rozmowy i sesje służyły do trenowania modeli, i czy wiem, że to ustawienie zmienia też czas ich przechowywania?</t>
  </si>
  <si>
    <t xml:space="preserve">Jedno ustawienie rozstrzyga między 30 dniami a pięcioma latami przechowywania i obejmuje też sesje Claude Code.</t>
  </si>
  <si>
    <t xml:space="preserve">https://www.anthropic.com/news/updates-to-our-consumer-terms („extending data retention to five years, if you allow us to use your data for model training.”); https://code.claude.com/docs/en/data-usage</t>
  </si>
  <si>
    <t xml:space="preserve">I5</t>
  </si>
  <si>
    <t xml:space="preserve">Które moje prośby zostaną zablokowane przez automatyczne zabezpieczenia i co wtedy robię?</t>
  </si>
  <si>
    <t xml:space="preserve">Blokada w połowie zadania zostawia pracę niedokończoną; zdarzyło się (2026-10-06), że zabezpieczenie odmówiło dołączenia repozytorium potrzebnego do zadania i zmiany instrukcji, o którą prosił właściciel.</t>
  </si>
  <si>
    <t xml:space="preserve">findings.md 2026-10-06 [MEASURED: odmowy „Self-Modification” i „Permission Grant”]</t>
  </si>
  <si>
    <t xml:space="preserve">[2026-09-30] „the permission classifier repeatedly blocks actions that the user has explicitly and directly ordered in the same session, which stalls long-running work.” — #98478 https://github.com/anthropics/claude-code/issues/98478</t>
  </si>
  <si>
    <t xml:space="preserve">I6</t>
  </si>
  <si>
    <t xml:space="preserve">Co każda połączona usługa i każde repozytorium pozwala Claude czytać i zmieniać w moim imieniu i pod moim nazwiskiem, i jak długo?</t>
  </si>
  <si>
    <t xml:space="preserve">Dostęp przyznaje się raz i potem się o nim zapomina; działania Claude wyglądają jak moje, a odpowiedzialność za nie zostaje przy mnie, także za te, których nikt nie oglądał.</t>
  </si>
  <si>
    <t xml:space="preserve">https://claude.com/docs/connectors/custom/add-unlisted („create, modify, or delete data, and take actions on your behalf.”); https://code.claude.com/docs/en/routines („appears as you”); https://support.claude.com/en/articles/13364135 („You remain responsible for all actions taken by Claude performed on your behalf.”)</t>
  </si>
  <si>
    <t xml:space="preserve">[2026-08-29] „committed under the user's configured git identity, and pushed directly to origin/ backing an open PR — all without being asked to touch that file” — #90622 https://github.com/anthropics/claude-code/issues/90622</t>
  </si>
  <si>
    <t xml:space="preserve">I6.1</t>
  </si>
  <si>
    <t xml:space="preserve">Komu ufam, instalując dodatki stworzone przez innych (połączenia, umiejętności, wtyczki), i jak zauważę, że któryś zmienił się po mojej akceptacji?</t>
  </si>
  <si>
    <t xml:space="preserve">Sprawdzony dodatek może później zmienić działanie, a dodatki od innych osób nie są weryfikowane przez Anthropic.</t>
  </si>
  <si>
    <t xml:space="preserve">https://claude.com/docs/connectors/verification („controls its tools, which can change after review.”); https://claude.com/docs/skills/overview („aren't reviewed by Anthropic”)</t>
  </si>
  <si>
    <t xml:space="preserve">I7</t>
  </si>
  <si>
    <t xml:space="preserve">Skąd wiem, że zgoda lub polecenie, na które Claude się powołuje, naprawdę pochodzi ode mnie i obejmuje dokładnie to, co zostało wykonane?</t>
  </si>
  <si>
    <t xml:space="preserve">Zgłoszenia opisują zgody dopisane przez samego Claude, zgodę na jedną zmianę użytą do innej i zatwierdzony skrypt zmieniony przed uruchomieniem; moja zgoda przestaje wtedy cokolwiek chronić.</t>
  </si>
  <si>
    <t xml:space="preserve">I2, N4</t>
  </si>
  <si>
    <t xml:space="preserve">społeczność: GitHub anthropics/claude-code #95360, #88837, #95749, #98591 (zgłoszenia, nie fakty)</t>
  </si>
  <si>
    <t xml:space="preserve">[2026-09-18; 2026-09-28] „generated the user's approval inside its own assistant message and treated it as real consent / injecting an identical line in the same position after every user turn” — #95360 https://github.com/anthropics/claude-code/issues/95360; #97927 https://github.com/anthropics/claude-code/issues/97927
[2026-08-22] „it manufactured a competing authorization out of a document it had written itself, it ranked that self-authored authorization above my standing instruction” — #88837 https://github.com/anthropics/claude-code/issues/88837
[2026-09-20] „Claude incorrectly treated that narrow authorization as permission to publish a later, substantially larger feature.” — #95749 https://github.com/anthropics/claude-code/issues/95749
[2026-10-01] „After the edit, what ran against production was code the user hadn't approved.” — #98591 https://github.com/anthropics/claude-code/issues/98591</t>
  </si>
  <si>
    <t xml:space="preserve">J · Środowisko w chmurze</t>
  </si>
  <si>
    <t xml:space="preserve">Czego brakuje w sesji w chmurze w porównaniu z pracą lokalną i co działa tam inaczej?</t>
  </si>
  <si>
    <t xml:space="preserve">Rozwiązanie sprawdzone lokalnie może w chmurze nie działać wcale: brak pamięci automatycznej, brak osobistych ustawień, świeża maszyna przy każdej sesji.</t>
  </si>
  <si>
    <t xml:space="preserve">KB O0 §2, §7 [MEASURED: brak katalogu pamięci]; https://code.claude.com/docs/en/cloud-environments („Anything you commit to the repo is available. Anything you've installed or configured only on your own machine isn't”)</t>
  </si>
  <si>
    <t xml:space="preserve">J1.1</t>
  </si>
  <si>
    <t xml:space="preserve">Jakie limity techniczne środowiska (czas poleceń, pamięć, dysk, sieć) mogą przerwać pracę w połowie?</t>
  </si>
  <si>
    <t xml:space="preserve">Przekroczenie limitu przenosi polecenie w tło albo je przerywa, a przy zapełnionym dysku tymczasowym jego wynik ginie i zadanie zostaje w połowie.</t>
  </si>
  <si>
    <t xml:space="preserve">KB O0 §7 (limity czasu poleceń, dysk ~30 GB, sieć) [SOURCE: CE; MEASURED; CODE: komunikat ENOSPC]</t>
  </si>
  <si>
    <t xml:space="preserve">J1.2</t>
  </si>
  <si>
    <t xml:space="preserve">Które funkcje działają tak samo na każdym moim urządzeniu, a które tylko na jednym?</t>
  </si>
  <si>
    <t xml:space="preserve">Sposób pracy zbudowany na komputerze po cichu nie działa na telefonie lub w przeglądarce.</t>
  </si>
  <si>
    <t xml:space="preserve">https://support.claude.com/en/articles/11725091 („only available in Claude Desktop and Claude Code—not on web or mobile.”); https://support.claude.com/en/articles/9450526 (eksportu nie da się uruchomić z aplikacji mobilnej)</t>
  </si>
  <si>
    <t xml:space="preserve">J2</t>
  </si>
  <si>
    <t xml:space="preserve">Jak sprawić, żeby każda nowa sesja startowała w znanym, powtarzalnym stanie?</t>
  </si>
  <si>
    <t xml:space="preserve">Bez tego każda sesja zaczyna w nieco innych warunkach, a błędy trudno odtworzyć; to, co zainstalowano w trakcie sesji, nie przechodzi do następnej.</t>
  </si>
  <si>
    <t xml:space="preserve">KB O0 §7 [SOURCE: CE]; https://code.claude.com/docs/en/cloud-environments („those installs don't carry over to other sessions.”)</t>
  </si>
  <si>
    <t xml:space="preserve">J3</t>
  </si>
  <si>
    <t xml:space="preserve">Co się zmienia, gdy jedna sesja pracuje na kilku repozytoriach naraz?</t>
  </si>
  <si>
    <t xml:space="preserve">Część zabezpieczeń, ustawień i automatów wczytuje się tylko z katalogu startowego; przy kilku repozytoriach mogą po cichu nie działać.</t>
  </si>
  <si>
    <t xml:space="preserve">KB O0 §4, §7; https://code.claude.com/docs/en/settings („A session with several repositories starts above the clones and reads only the `enabledPlugins` and `extraKnownMarketplaces` keys”)</t>
  </si>
  <si>
    <t xml:space="preserve">[2026-10-03] „the worktree's root `CLAUDE.md` (and its `@AGENTS.md` import) is never loaded into context.” — #99275 https://github.com/anthropics/claude-code/issues/99275
[2026-08-24; sprzeczne z tytułem #78119] „Claude Code therefore never loads `&lt;repo&gt;/.claude/settings.json`, and any hooks registered there never fire. Nothing warns — not the session, not the logs.” — #89215 https://github.com/anthropics/claude-code/issues/89215
[2026-02-06] „Claude Code remote/web sessions assume one session = one repo = one branch = one PR.” — #23627 https://github.com/anthropics/claude-code/issues/23627</t>
  </si>
  <si>
    <t xml:space="preserve">K1</t>
  </si>
  <si>
    <t xml:space="preserve">K · Zmiany w czasie</t>
  </si>
  <si>
    <t xml:space="preserve">Jak dowiem się, że zmiana w Claude Code, modelu, dokumentacji lub produkcie wpłynęła na mój system?</t>
  </si>
  <si>
    <t xml:space="preserve">Nowe wersje wychodzą częściej niż przegląd systemu (28 wydań Claude Code między 2026-09-06 a 2026-10-06), a część zmian produktu wchodzi bez możliwości powrotu.</t>
  </si>
  <si>
    <t xml:space="preserve">KB O0 §9; https://code.claude.com/docs/en/changelog (2.1.263–2.1.292); https://support.claude.com/en/articles/15520349 (Cowork: „you can't switch back.”)</t>
  </si>
  <si>
    <t xml:space="preserve">[2026-04-12; 2026-04-01] „silently changed the prompt cache TTL default from 1 hour to 5 minutes sometime in early March 2026” — #46829 https://github.com/anthropics/claude-code/issues/46829; #41930 https://github.com/anthropics/claude-code/issues/41930
[2026-10-01] „more thinking tokens and longer outputs per request, together with clearly worse task judgment.” — #98679 https://github.com/anthropics/claude-code/issues/98679</t>
  </si>
  <si>
    <t xml:space="preserve">K2</t>
  </si>
  <si>
    <t xml:space="preserve">Które moje zasady, fakty i ustawienia zależą od konkretnej wersji, modelu lub funkcji w fazie podglądu i wymagają ponownego sprawdzenia po zmianie?</t>
  </si>
  <si>
    <t xml:space="preserve">Instrukcje pisane pod starszy model pogarszają wynik nowego; ta sama nazwa ustawienia znaczy co innego na różnych modelach, a funkcje podglądowe mogą zniknąć.</t>
  </si>
  <si>
    <t xml:space="preserve">KB O0 §6 „Stale prompts”; https://code.claude.com/docs/en/model-config („the same level name does not represent the same underlying value across models.”); https://platform.claude.com/docs/en/about-claude/models/optimizing-for-cost-and-intelligence („a prompt accumulates text written for a model you no longer use.”)</t>
  </si>
  <si>
    <t xml:space="preserve">K3</t>
  </si>
  <si>
    <t xml:space="preserve">Co się stanie, gdy model, na którym polegam, zostanie wycofany albo zmieni się model domyślny?</t>
  </si>
  <si>
    <t xml:space="preserve">Zapytania do wycofanego modelu przestają działać, a zmiana modelu domyślnego zmienia jakość i koszt bez żadnej zmiany po mojej stronie.</t>
  </si>
  <si>
    <t xml:space="preserve">https://platform.claude.com/docs/en/about-claude/model-deprecations („Requests to models past the retirement date will fail.”); KB O0 §5 [MEASURED: claude -p bez --model → Sonnet 5.5]</t>
  </si>
  <si>
    <t xml:space="preserve">K4</t>
  </si>
  <si>
    <t xml:space="preserve">Jak sprawdzę, czy po zmianie (mojej albo po stronie Anthropic) system działa lepiej, gorzej czy tak samo, bez ręcznego przeglądania wszystkiego?</t>
  </si>
  <si>
    <t xml:space="preserve">Bez tego po każdej zmianie nie odróżnię poprawy od pogorszenia ani od przypadku; poprawki piętrzą się, a nikt nie wie, które działają.</t>
  </si>
  <si>
    <t xml:space="preserve">A2, E2, D5</t>
  </si>
  <si>
    <t xml:space="preserve">https://www.anthropic.com/engineering/demystifying-evals-for-ai-agents („Teams can't distinguish real regressions from noise”); https://code.claude.com/docs/en/best-practices („test changes by observing whether Claude's behavior actually shifts.”); https://code.claude.com/docs/en/skills („Seeing a skill trigger tells you Claude found it, not that it did what you intended.”)</t>
  </si>
  <si>
    <t xml:space="preserve">K5</t>
  </si>
  <si>
    <t xml:space="preserve">Co się stanie z moimi systemami, gdy zmieni się plan, cena, dostępność usługi albo zasady dostawcy?</t>
  </si>
  <si>
    <t xml:space="preserve">Cały system zależy od jednego dostawcy; model bywał już nagle niedostępny.</t>
  </si>
  <si>
    <t xml:space="preserve">KB O5 §5 (zawieszenie Fable 5 z powodu kontroli eksportu) [3P: venturebeat, aljazeera]</t>
  </si>
  <si>
    <t xml:space="preserve">K5.1</t>
  </si>
  <si>
    <t xml:space="preserve">Czy mój sposób automatyzacji (skrypty, uruchomienia bez nadzoru) jest dozwolony w ramach planu, jak jest rozliczany i jak dowiem się o zmianie zasad?</t>
  </si>
  <si>
    <t xml:space="preserve">Zasady rozliczania pracy bez nadzoru były już ogłaszane i wstrzymywane; dzisiejsze rozwiązanie może jutro stać się drogie lub niezgodne z regulaminem.</t>
  </si>
  <si>
    <t xml:space="preserve">https://support.claude.com/en/articles/15036540 („For now, nothing has changed”); https://www.anthropic.com/legal/consumer-terms (zakaz dostępu „through automated or non-human means” poza wyraźnie dozwolonymi przypadkami)</t>
  </si>
  <si>
    <t xml:space="preserve">[2026-09-25] „the same workload uses about 1.8× more of the 5-hour window when it runs headless” — #97074 https://github.com/anthropics/claude-code/issues/97074</t>
  </si>
  <si>
    <t xml:space="preserve">K5.2</t>
  </si>
  <si>
    <t xml:space="preserve">Co stanie się z moją pracą, gdy konto zostanie zawieszone lub zamknięte albo przestanę płacić, i czy mogę ją wyeksportować w użytecznej formie?</t>
  </si>
  <si>
    <t xml:space="preserve">Praca istniejąca tylko w koncie może zniknąć, a eksport ma ograniczenia.</t>
  </si>
  <si>
    <t xml:space="preserve">https://www.anthropic.com/legal/consumer-terms („we may at our option delete any Materials”); https://support.claude.com/en/articles/9450526 („Exported data can't be imported into another personal Claude account”)</t>
  </si>
  <si>
    <t xml:space="preserve">L1</t>
  </si>
  <si>
    <t xml:space="preserve">L · Koszt, limity i skala</t>
  </si>
  <si>
    <t xml:space="preserve">Ile kosztuje mój sposób pracy w pieniądzach lub limitach planu i gdzie to widzę?</t>
  </si>
  <si>
    <t xml:space="preserve">Sam start agenta kosztuje od kilkudziesięciu do ponad stu tysięcy tokenów, długa sesja zużywa więcej, niż sugeruje aktywność, a limit jest wspólny dla wszystkich miejsc, w których używam Claude.</t>
  </si>
  <si>
    <t xml:space="preserve">KB O0 §3, §8 [MEASURED: start agenta 25–180 tys. tokenów]; https://support.claude.com/en/articles/11647753 („counts towards the same usage limit.”); https://code.claude.com/docs/en/costs („A session that has been open for hours can use far more of your plan limits than your activity suggests”)</t>
  </si>
  <si>
    <t xml:space="preserve">[2026-09-25] „the same workload uses about 1.8× more of the 5-hour window when it runs headless” — #97074 https://github.com/anthropics/claude-code/issues/97074
[2026-04-12; 2026-04-01] „silently changed the prompt cache TTL default from 1 hour to 5 minutes sometime in early March 2026” — #46829 https://github.com/anthropics/claude-code/issues/46829; #41930 https://github.com/anthropics/claude-code/issues/41930</t>
  </si>
  <si>
    <t xml:space="preserve">L1.1</t>
  </si>
  <si>
    <t xml:space="preserve">Jak upewnić się, że każda sesja zużywa limit mojego planu, a nie jest rozliczana osobno, poza planem?</t>
  </si>
  <si>
    <t xml:space="preserve">Jedno ustawienie w środowisku przenosi zużycie na osobne, płatne rozliczanie bez widocznego sygnału.</t>
  </si>
  <si>
    <t xml:space="preserve">https://support.claude.com/en/articles/11145838 („Claude Code will use this API key for authentication instead of your Claude subscription”)</t>
  </si>
  <si>
    <t xml:space="preserve">L2</t>
  </si>
  <si>
    <t xml:space="preserve">Co dzieje się z pracą, zwłaszcza bez nadzoru, gdy w połowie skończy się limit albo usługa przestanie odpowiadać?</t>
  </si>
  <si>
    <t xml:space="preserve">Część trybów pracy czeka na odnowienie limitu, inne kończą się błędem i gubią postęp; praca zostawiona w tle zaczyna zużywać następne okno limitu.</t>
  </si>
  <si>
    <t xml:space="preserve">KB O3 §5 [OF CC workflows]; https://code.claude.com/docs/en/claude-projects („starts using your next usage window without a message from you”); https://support.claude.com/en/articles/12466728 („Capacity issues will not appear on our status page”)</t>
  </si>
  <si>
    <t xml:space="preserve">[2026-09-16; 2026-09-13] „The model cannot see remaining quota, so it cannot plan within a budget. / Neither run aborts, and both report `status: completed`.” — #94770 https://github.com/anthropics/claude-code/issues/94770; #94012 https://github.com/anthropics/claude-code/issues/94012</t>
  </si>
  <si>
    <t xml:space="preserve">L3</t>
  </si>
  <si>
    <t xml:space="preserve">Jak z góry ograniczyć koszt (także dopłaty ponad plan), czas i liczbę powtórzeń zadania?</t>
  </si>
  <si>
    <t xml:space="preserve">Bez sufitu pętla lub duża orkiestracja zużywa limit, zanim to zauważę; kilka „uciekających” przebiegów potrafi zjeść większość budżetu, a dopłaty bez limitu rosną bez pytania.</t>
  </si>
  <si>
    <t xml:space="preserve">https://www.anthropic.com/engineering/building-effective-agents („include stopping conditions (such as a maximum number of iterations)”); https://platform.claude.com/docs/en/about-claude/models/optimizing-for-cost-and-intelligence („two problems carried 43% of the spend”); https://support.claude.com/en/articles/12429409 („you can switch to consumption-based pricing at standard API rates”)</t>
  </si>
  <si>
    <t xml:space="preserve">[2026-06-06] „the workflow silently restarted from Phase 1, re-running the already-completed agents from scratch instead of replaying them from cache.” — #65796 https://github.com/anthropics/claude-code/issues/65796
[2026-06-19] „This created an infinite recursive loop running silently in the background.” — #69578 https://github.com/anthropics/claude-code/issues/69578
[2026-09-29] „The hook re-fired ~15 times with the same verdict.” — #98066 https://github.com/anthropics/claude-code/issues/98066
[2026-09-16; 2026-09-13] „The model cannot see remaining quota, so it cannot plan within a budget. / Neither run aborts, and both report `status: completed`.” — #94770 https://github.com/anthropics/claude-code/issues/94770; #94012 https://github.com/anthropics/claude-code/issues/94012</t>
  </si>
  <si>
    <t xml:space="preserve">L4</t>
  </si>
  <si>
    <t xml:space="preserve">Które zadania wymagają najmocniejszego modelu i najwyższego poziomu wysiłku, a które nie, i jak to sprawdzić na własnych zadaniach?</t>
  </si>
  <si>
    <t xml:space="preserve">Najwyższe ustawienia kosztują wielokrotnie więcej przy niewielkim zysku; najniższe gubią trudne zadania; pomocnicy bez jawnego ustawienia dostają wartości domyślne.</t>
  </si>
  <si>
    <t xml:space="preserve">KB O0 §5 [MEASURED: przegląd poziomów wysiłku]; https://platform.claude.com/docs/en/about-claude/models/optimizing-for-cost-and-intelligence („the default bought nothing measurable over `medium`”; „Long-horizon coding is where effort genuinely buys accuracy.”)</t>
  </si>
  <si>
    <t xml:space="preserve">[2026-09-15] „Over one working day, 41 bare `agent()` spawns accounted for $643.72 — 54% of all subagent spend.” — #94534 https://github.com/anthropics/claude-code/issues/94534</t>
  </si>
  <si>
    <t xml:space="preserve">L4.1</t>
  </si>
  <si>
    <t xml:space="preserve">Czy oszczędzanie na koszcie sprawia, że Claude rzadziej sięga do źródeł i rzadziej sprawdza swoją pracę?</t>
  </si>
  <si>
    <t xml:space="preserve">Oszczędność po cichu odbiera ugruntowanie w źródłach i weryfikację, a ja widzę tylko niższy rachunek.</t>
  </si>
  <si>
    <t xml:space="preserve">C1, D1</t>
  </si>
  <si>
    <t xml:space="preserve">…/prompting-claude-fable-5-1 (przy niskim wysiłku „more likely to answer from memory”); …/prompting-claude-sonnet-5-5 („At `low`, it keeps its thinking short and can skip verifying a change.”)</t>
  </si>
  <si>
    <t xml:space="preserve">L5</t>
  </si>
  <si>
    <t xml:space="preserve">Ile kosztuje mnie (czas nadzoru i pieniądze) jedna ukończona praca i czy system się opłaca w porównaniu z pracą bez niego?</t>
  </si>
  <si>
    <t xml:space="preserve">System, którego pilnowanie zajmuje więcej czasu, niż oszczędza, jest stratą; liczy się koszt ukończonej pracy, nie cena za token.</t>
  </si>
  <si>
    <t xml:space="preserve">L1, A4</t>
  </si>
  <si>
    <t xml:space="preserve">analiza własna; https://platform.claude.com/docs/en/about-claude/models/optimizing-for-cost-and-intelligence („compare models on cost per completed task.”)</t>
  </si>
  <si>
    <t xml:space="preserve">M1</t>
  </si>
  <si>
    <t xml:space="preserve">M · Przegląd i kontrola nad całością</t>
  </si>
  <si>
    <t xml:space="preserve">Co dokładnie mam: z jakich systemów i części składa się moja praca z Claude?</t>
  </si>
  <si>
    <t xml:space="preserve">Bez spisu nie wiem, co poprawić, co usunąć i gdzie szukać przyczyny problemu.</t>
  </si>
  <si>
    <t xml:space="preserve">analiza własna (obserwacja właściciela); https://code.claude.com/docs/en/debug-your-config („the file didn't load, it loaded from a different location than you expected, or another file overrode it.”)</t>
  </si>
  <si>
    <t xml:space="preserve">M2</t>
  </si>
  <si>
    <t xml:space="preserve">Co od czego zależy: co się zepsuje, gdy zmienię jeden element?</t>
  </si>
  <si>
    <t xml:space="preserve">Zmiana w jednym pliku instrukcji wpływa na agentów i repozytoria, o których nie pamiętam.</t>
  </si>
  <si>
    <t xml:space="preserve">analiza własna; KB O0 §2 (hierarchia i wczytywanie instrukcji)</t>
  </si>
  <si>
    <t xml:space="preserve">M3</t>
  </si>
  <si>
    <t xml:space="preserve">Jakie minimum informacji potrzebuję regularnie, żeby panować nad systemem bez czytania wszystkiego: co działa, co czeka na mnie, co się skończyło, co się nie udało?</t>
  </si>
  <si>
    <t xml:space="preserve">Bez ustalonego minimum albo czytam wszystko, albo nic, i problemy wychodzą za późno.</t>
  </si>
  <si>
    <t xml:space="preserve">analiza własna; https://code.claude.com/docs/en/agents („The command for checking on running work depends on which approach you used”)</t>
  </si>
  <si>
    <t xml:space="preserve">[2026-09-18] „fails to execute at all, takes multi-day delays to execute, fires duplicate/extra times for a single logical trigger, or gets permanently stuck in a PENDING run status” — #95450 https://github.com/anthropics/claude-code/issues/95450</t>
  </si>
  <si>
    <t xml:space="preserve">M4</t>
  </si>
  <si>
    <t xml:space="preserve">W jakiej formie i jakiej długości Claude ma mi raportować i pisać dokumenty, żebym w minutę wiedział, co zrobiono, co otwarte i co wymaga mojej decyzji?</t>
  </si>
  <si>
    <t xml:space="preserve">Długi raport pisany roboczym żargonem agenta ukrywa jedyną decyzję, której ode mnie potrzeba, a nowsze modele domyślnie piszą coraz dłuższe pliki.</t>
  </si>
  <si>
    <t xml:space="preserve">https://platform.claude.com/docs/en/build-with-claude/prompt-engineering/prompting-claude-fable-5 („your final message is their first look at any of it.”); …/prompting-claude-opus-5 („files that Claude Opus 5 writes to disk … are often longer than on prior models.”)</t>
  </si>
  <si>
    <t xml:space="preserve">M5</t>
  </si>
  <si>
    <t xml:space="preserve">Jak śledzę otwarte kwestie, sprzeczności i nierozstrzygnięte pytania, żeby nie ginęły?</t>
  </si>
  <si>
    <t xml:space="preserve">Nierozstrzygnięta sprzeczność wraca w kolejnych sesjach jako „nowy” problem.</t>
  </si>
  <si>
    <t xml:space="preserve">CLAUDE.md „Known open conflicts”</t>
  </si>
  <si>
    <t xml:space="preserve">M6</t>
  </si>
  <si>
    <t xml:space="preserve">Które części mojego systemu naprawdę coś dają, a które są zbędną złożonością?</t>
  </si>
  <si>
    <t xml:space="preserve">Zbędne elementy dokładają kosztu i zamieszania, a usuwanie kilku naraz ukrywa, które były potrzebne.</t>
  </si>
  <si>
    <t xml:space="preserve">M1, K4</t>
  </si>
  <si>
    <t xml:space="preserve">https://www.anthropic.com/engineering/harness-design-long-running-apps („difficult to tell which pieces of the harness design were actually load-bearing”)</t>
  </si>
  <si>
    <t xml:space="preserve">M7</t>
  </si>
  <si>
    <t xml:space="preserve">Jak wykryję, że część mojego systemu po cichu się nie włączyła albo przestała działać, choć wszystko wygląda poprawnie?</t>
  </si>
  <si>
    <t xml:space="preserve">Definicje agentów, opisy umiejętności i pliki ustawień bywają pomijane bez ostrzeżenia; brak działania wygląda wtedy tak samo jak działanie bez skutku.</t>
  </si>
  <si>
    <t xml:space="preserve">M1, B2</t>
  </si>
  <si>
    <t xml:space="preserve">społeczność: GitHub anthropics/claude-code #91781, #95582, #89215, #88023 (zgłoszenia, nie fakty)</t>
  </si>
  <si>
    <t xml:space="preserve">[2026-08-19, zamknięte jako not planned] „every one of the 7 project-defined agents is gone from the registry, despite the files being unchanged on disk” — #88023 https://github.com/anthropics/claude-code/issues/88023
[2026-09-03; 2026-04-18; 2026-09-18] „There is no warning on stderr, nothing in `--debug` output, and the file is otherwise valid.” — #91781 https://github.com/anthropics/claude-code/issues/91781; #50522 https://github.com/anthropics/claude-code/issues/50522; #95357 https://github.com/anthropics/claude-code/issues/95357
[2026-08-24; sprzeczne z tytułem #78119] „Claude Code therefore never loads `&lt;repo&gt;/.claude/settings.json`, and any hooks registered there never fire. Nothing warns — not the session, not the logs.” — #89215 https://github.com/anthropics/claude-code/issues/89215
[2026-09-19; 2026-08-09] „this silently breaks natural-language auto-triggering for the affected skills — they only work when invoked by explicit name.” — #95582 https://github.com/anthropics/claude-code/issues/95582; #85207 https://github.com/anthropics/claude-code/issues/85207</t>
  </si>
  <si>
    <t xml:space="preserve">N1</t>
  </si>
  <si>
    <t xml:space="preserve">N · Moja rola i doskonalenie systemu</t>
  </si>
  <si>
    <t xml:space="preserve">W których częściach mojej pracy nie potrafię sam ocenić, czy wynik Claude jest poprawny, i kto lub co ocenia go wtedy za mnie?</t>
  </si>
  <si>
    <t xml:space="preserve">Tam, gdzie nie umiem ocenić wyniku, dobra praca i przekonująco napisana praca wyglądają tak samo.</t>
  </si>
  <si>
    <t xml:space="preserve">N2</t>
  </si>
  <si>
    <t xml:space="preserve">Co robię z zauważoną porażką, żeby ten sam błąd nie wracał, a instrukcje nie rosły bez końca?</t>
  </si>
  <si>
    <t xml:space="preserve">Bez pętli nauki te same błędy wracają, a każda poprawka dopisana do instrukcji obniża skuteczność pozostałych.</t>
  </si>
  <si>
    <t xml:space="preserve">analiza własna; findings.md i exceptions.md w tym repozytorium</t>
  </si>
  <si>
    <t xml:space="preserve">N2.1</t>
  </si>
  <si>
    <t xml:space="preserve">Gdy coś zawiedzie, jak odróżnię winę modelu, moich instrukcji, błędnego sprawdzianu, środowiska i zmiany po stronie Anthropic?</t>
  </si>
  <si>
    <t xml:space="preserve">Źle rozpoznana przyczyna prowadzi do poprawiania nie tego, co trzeba; zmiany po stronie dostawcy wyglądają jak losowy spadek jakości.</t>
  </si>
  <si>
    <t xml:space="preserve">https://www.anthropic.com/engineering/demystifying-evals-for-ai-agents („fails to solve tasks due to grading bugs, agent harness constraints, or ambiguity”); https://www.anthropic.com/engineering/april-23-postmortem („the aggregate effect looked like broad, inconsistent degradation.”)</t>
  </si>
  <si>
    <t xml:space="preserve">[2026-10-01] „more thinking tokens and longer outputs per request, together with clearly worse task judgment.” — #98679 https://github.com/anthropics/claude-code/issues/98679
[2026-04-02; odpowiedź pracownika Anthropic] „It does not impact thinking itself, nor does it impact thinking budgets … It is a UI-only change.” — #42796 https://github.com/anthropics/claude-code/issues/42796</t>
  </si>
  <si>
    <t xml:space="preserve">N3</t>
  </si>
  <si>
    <t xml:space="preserve">Jak bezpiecznie i tanio sprawdzić zmianę (instrukcję, agenta, sposób pracy), zanim wdrożę ją we wszystkich repozytoriach?</t>
  </si>
  <si>
    <t xml:space="preserve">Zmiana wdrożona wszędzie naraz psuje wszystko naraz.</t>
  </si>
  <si>
    <t xml:space="preserve">K4, M2</t>
  </si>
  <si>
    <t xml:space="preserve">CLAUDE.md „Experiments”; KB O5 §3</t>
  </si>
  <si>
    <t xml:space="preserve">[2026-07-22] „register only in the `slash_commands` array … not in the `skills` array that governs auto-triggering.” — #79998 https://github.com/anthropics/claude-code/issues/79998</t>
  </si>
  <si>
    <t xml:space="preserve">N4</t>
  </si>
  <si>
    <t xml:space="preserve">Czy przy liczbie próśb o zgodę, raportów i zmian do scalenia, które dostaję, naprawdę czytam to, co zatwierdzam?</t>
  </si>
  <si>
    <t xml:space="preserve">Moja zgoda to ostatnia kontrola przed nieodwracalnym krokiem; dawana odruchowo przestaje nią być, a system wciąż na niej polega.</t>
  </si>
  <si>
    <t xml:space="preserve">A5, I2</t>
  </si>
  <si>
    <t xml:space="preserve">https://code.claude.com/docs/en/security („Prompt fatigue mitigation”); https://code.claude.com/docs/en/permission-modes („reducing prompt fatigue”)</t>
  </si>
  <si>
    <t xml:space="preserve">[2026-09-20] „Claude incorrectly treated that narrow authorization as permission to publish a later, substantially larger feature.” — #95749 https://github.com/anthropics/claude-code/issues/95749
[2026-10-01] „After the edit, what ran against production was code the user hadn't approved.” — #98591 https://github.com/anthropics/claude-code/issues/98591</t>
  </si>
  <si>
    <t xml:space="preserve">Mapa pytań systemów Claude</t>
  </si>
  <si>
    <t xml:space="preserve">Stan na 2026-10-06. Szkielet kluczowych pytań: pytania, nie odpowiedzi. Plik jest Twój — dopisuj, usuwaj i zmieniaj, co chcesz.</t>
  </si>
  <si>
    <t xml:space="preserve">Jak pracować</t>
  </si>
  <si>
    <t xml:space="preserve">• Arkusz „Pytania”: jeden wiersz = jedno pytanie. Nowe pytanie: dopisz wiersz na końcu (albo wstaw wiersz w środku) i wypełnij przynajmniej kolumny Kod, Poziom, Gałąź i Pytanie.</t>
  </si>
  <si>
    <t xml:space="preserve">• Usuwanie: usuń cały wiersz. Jeśli inne pytania miały ten kod w kolumnie „Zależy od”, popraw je (filtr tekstowy na tej kolumnie pokaże, które).</t>
  </si>
  <si>
    <t xml:space="preserve">• Status, Poziom, Nieoczywiste i Pochodzenie mają listy rozwijane (do wiersza 1000).</t>
  </si>
  <si>
    <t xml:space="preserve">• Filtry są w nagłówku: np. Status = Otwarte, Gałąź = B, Nieoczywiste = tak. Sortowanie po kolumnie Kod przywraca kolejność drzewa.</t>
  </si>
  <si>
    <t xml:space="preserve">• Kod: litera gałęzi + numer pytania (B2), podpytanie dostaje kropkę (B2.1). Kody nadajesz sam; nic ich nie przenumerowuje.</t>
  </si>
  <si>
    <t xml:space="preserve">• Zależy od: kody pytań, na które warto odpowiedzieć wcześniej, rozdzielone przecinkami.</t>
  </si>
  <si>
    <t xml:space="preserve">• Arkusz „Gałęzie”: nazwy i zakres gałęzi. Nową gałąź dopisz tam i używaj jej nazwy w kolumnie Gałąź.</t>
  </si>
  <si>
    <t xml:space="preserve">• Arkusz „Podsumowanie” liczy się sam (formuły) i pokazuje stan każdej gałęzi.</t>
  </si>
  <si>
    <t xml:space="preserve">Kolumny</t>
  </si>
  <si>
    <t xml:space="preserve">• Dlaczego ważne: co się psuje, jeśli pytanie zostanie bez odpowiedzi.</t>
  </si>
  <si>
    <t xml:space="preserve">• Źródło: „KB O0 §2” = rozdział bazy wiedzy w repozytorium ClaudeEXPERT; CLAUDE.md i findings.md = pliki tego repozytorium; reszta to adresy dokumentacji Anthropic. [MEASURED] = pomiar, [SOURCE] = dokumentacja, [ASSUMPTION] = wniosek.</t>
  </si>
  <si>
    <t xml:space="preserve">• Zgłoszenia społeczności: relacje użytkowników (głównie GitHub, stan na 2026-10-06), nie potwierdzone fakty. Cytaty pobrano narzędziem streszczającym, mogą nie być słowo w słowo.</t>
  </si>
  <si>
    <t xml:space="preserve">• Nieoczywiste = tak: pytanie, którego zwykle nie zadaje się samemu.</t>
  </si>
  <si>
    <t xml:space="preserve">• Moje notatki, Odpowiedź: Twoje pola.</t>
  </si>
  <si>
    <t xml:space="preserve">Dostęp z innych urządzeń: wrzuć plik do OneDrive albo Google Drive i otwieraj go stamtąd (Excel, Google Sheets lub LibreOffice). Edytuj jedną kopię naraz, żeby nie powstały dwie wersje.</t>
  </si>
  <si>
    <t xml:space="preserve">Litera</t>
  </si>
  <si>
    <t xml:space="preserve">Nazwa</t>
  </si>
  <si>
    <t xml:space="preserve">Zakres</t>
  </si>
  <si>
    <t xml:space="preserve">Etykieta (do kolumny Gałąź)</t>
  </si>
  <si>
    <t xml:space="preserve">A</t>
  </si>
  <si>
    <t xml:space="preserve">Cel i miara sukcesu</t>
  </si>
  <si>
    <t xml:space="preserve">Co właściwie ma robić każdy system i po czym poznać, że robi to dobrze. Bez tego nie da się ocenić ani posłuszeństwa Claude, ani skuteczności audytu.</t>
  </si>
  <si>
    <t xml:space="preserve">B</t>
  </si>
  <si>
    <t xml:space="preserve">Posłuszeństwo wobec instrukcji</t>
  </si>
  <si>
    <t xml:space="preserve">Dlaczego Claude nie zawsze robi to, co napisałem. „Instrukcje” to pliki CLAUDE.md (stałe instrukcje projektu wczytywane na starcie sesji), polecenia w rozmowie, opisy agentów i ustawienia konta. Agent to osobna instancja Claude uruchomiona do podzadania, która nie zna mojej rozmowy.</t>
  </si>
  <si>
    <t xml:space="preserve">C</t>
  </si>
  <si>
    <t xml:space="preserve">Źródła zamiast pamięci</t>
  </si>
  <si>
    <t xml:space="preserve">Jak sprawić, żeby odpowiedzi opierały się na źródłach, a nie na tym, co model „pamięta” z treningu.</t>
  </si>
  <si>
    <t xml:space="preserve">D</t>
  </si>
  <si>
    <t xml:space="preserve">Dowody i weryfikacja pracy</t>
  </si>
  <si>
    <t xml:space="preserve">Jak upewnić się, że Claude naprawdę zrobił to, co raportuje, i że jego twierdzenia mają pokrycie.</t>
  </si>
  <si>
    <t xml:space="preserve">E</t>
  </si>
  <si>
    <t xml:space="preserve">Audyty i przeglądy</t>
  </si>
  <si>
    <t xml:space="preserve">Dlaczego kilka sesji i agentów przegląda tę samą pracę, a prawdziwe problemy i tak przechodzą.</t>
  </si>
  <si>
    <t xml:space="preserve">F</t>
  </si>
  <si>
    <t xml:space="preserve">Ciągłość pracy między sesjami</t>
  </si>
  <si>
    <t xml:space="preserve">Co przetrwa, co ginie i jak wyniki z wielu sesji składają się w jedną całość. Gałąź (branch) to osobna wersja plików w repozytorium; main to wersja główna; scalenie (merge) to włączenie zmian z gałęzi do main.</t>
  </si>
  <si>
    <t xml:space="preserve">G</t>
  </si>
  <si>
    <t xml:space="preserve">Wiedza i dokumentacja</t>
  </si>
  <si>
    <t xml:space="preserve">Jak organizować, utrzymywać i archiwizować wiedzę, z której korzystamy ja i Claude.</t>
  </si>
  <si>
    <t xml:space="preserve">H</t>
  </si>
  <si>
    <t xml:space="preserve">Agenci i podział pracy</t>
  </si>
  <si>
    <t xml:space="preserve">Agent to osobna instancja Claude uruchomiona do podzadania, która nie zna mojej rozmowy. Kiedy pomaga, kiedy szkodzi i jak go poinstruować.</t>
  </si>
  <si>
    <t xml:space="preserve">I</t>
  </si>
  <si>
    <t xml:space="preserve">Granice, uprawnienia i bezpieczeństwo</t>
  </si>
  <si>
    <t xml:space="preserve">Czego Claude nie może zrobić, co może bez pytania, co z zewnątrz może nim sterować i jakie dane wychodzą poza moją kontrolę.</t>
  </si>
  <si>
    <t xml:space="preserve">J</t>
  </si>
  <si>
    <t xml:space="preserve">Środowisko w chmurze</t>
  </si>
  <si>
    <t xml:space="preserve">Czym sesja na claude.ai różni się od pracy na własnym komputerze i co z tego wynika.</t>
  </si>
  <si>
    <t xml:space="preserve">K</t>
  </si>
  <si>
    <t xml:space="preserve">Zmiany w czasie</t>
  </si>
  <si>
    <t xml:space="preserve">Modele, Claude Code i dokumentacja zmieniają się co tydzień. Jak system ma to przetrwać.</t>
  </si>
  <si>
    <t xml:space="preserve">L</t>
  </si>
  <si>
    <t xml:space="preserve">Koszt, limity i skala</t>
  </si>
  <si>
    <t xml:space="preserve">Ile kosztuje dany sposób pracy w pieniądzach i limitach planu i kiedy skala się opłaca.</t>
  </si>
  <si>
    <t xml:space="preserve">M</t>
  </si>
  <si>
    <t xml:space="preserve">Przegląd i kontrola nad całością</t>
  </si>
  <si>
    <t xml:space="preserve">Jak jedna osoba widzi, co ma, czego brakuje i co od czego zależy, bez tonięcia w tekście.</t>
  </si>
  <si>
    <t xml:space="preserve">N</t>
  </si>
  <si>
    <t xml:space="preserve">Moja rola i doskonalenie systemu</t>
  </si>
  <si>
    <t xml:space="preserve">Co muszę umieć i robić sam, żeby system z czasem stawał się lepszy, a nie tylko większy.</t>
  </si>
  <si>
    <t xml:space="preserve">Pytania</t>
  </si>
  <si>
    <t xml:space="preserve">Podpytania</t>
  </si>
  <si>
    <t xml:space="preserve">W toku</t>
  </si>
  <si>
    <t xml:space="preserve">Odpowiedziane</t>
  </si>
  <si>
    <t xml:space="preserve">Odłożone</t>
  </si>
  <si>
    <t xml:space="preserve">% odpowiedzianych</t>
  </si>
  <si>
    <t xml:space="preserve">Razem</t>
  </si>
  <si>
    <t xml:space="preserve">Liczone formułami z arkusza „Pytania”; wiersz liczy się do gałęzi, gdy kolumna Gałąź ma dokładnie etykietę z arkusza „Gałęzie”.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</si>
</sst>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578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C578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E8ED"/>
          <bgColor rgb="FF000000"/>
        </patternFill>
      </fill>
    </dxf>
    <dxf>
      <fill>
        <patternFill patternType="solid">
          <fgColor rgb="FFD8EBEF"/>
          <bgColor rgb="FF000000"/>
        </patternFill>
      </fill>
    </dxf>
    <dxf>
      <fill>
        <patternFill>
          <bgColor rgb="FFE4E8ED"/>
        </patternFill>
      </fill>
    </dxf>
    <dxf>
      <fill>
        <patternFill>
          <bgColor rgb="FFF8EBD3"/>
        </patternFill>
      </fill>
    </dxf>
    <dxf>
      <fill>
        <patternFill>
          <bgColor rgb="FFDCEFE3"/>
        </patternFill>
      </fill>
    </dxf>
    <dxf>
      <fill>
        <patternFill>
          <bgColor rgb="FFE9E3F4"/>
        </patternFill>
      </fill>
    </dxf>
    <dxf>
      <fill>
        <patternFill>
          <bgColor rgb="FFD8EB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EBD3"/>
      <rgbColor rgb="FFD8EBEF"/>
      <rgbColor rgb="FF660066"/>
      <rgbColor rgb="FFFF8080"/>
      <rgbColor rgb="FF1C5782"/>
      <rgbColor rgb="FFD6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8ED"/>
      <rgbColor rgb="FFDCEFE3"/>
      <rgbColor rgb="FFFFFF99"/>
      <rgbColor rgb="FF99CCFF"/>
      <rgbColor rgb="FFFF99CC"/>
      <rgbColor rgb="FFCC99FF"/>
      <rgbColor rgb="FFE9E3F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E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14"/>
    <col collapsed="false" customWidth="true" hidden="false" outlineLevel="0" max="10" min="9" style="0" width="55"/>
    <col collapsed="false" customWidth="true" hidden="false" outlineLevel="0" max="11" min="11" style="0" width="18"/>
    <col collapsed="false" customWidth="true" hidden="false" outlineLevel="0" max="12" min="12" style="0" width="40"/>
    <col collapsed="false" customWidth="true" hidden="false" outlineLevel="0" max="13" min="13" style="0" width="5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2" t="s">
        <v>13</v>
      </c>
      <c r="B2" s="2" t="s">
        <v>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2"/>
      <c r="I2" s="2" t="s">
        <v>19</v>
      </c>
      <c r="J2" s="2"/>
      <c r="K2" s="2" t="s">
        <v>20</v>
      </c>
      <c r="L2" s="2"/>
      <c r="M2" s="2"/>
    </row>
    <row r="3" customFormat="false" ht="46.25" hidden="false" customHeight="false" outlineLevel="0" collapsed="false">
      <c r="A3" s="2" t="s">
        <v>21</v>
      </c>
      <c r="B3" s="2" t="s">
        <v>3</v>
      </c>
      <c r="C3" s="2" t="s">
        <v>14</v>
      </c>
      <c r="D3" s="3" t="s">
        <v>22</v>
      </c>
      <c r="E3" s="2" t="s">
        <v>16</v>
      </c>
      <c r="F3" s="2" t="s">
        <v>17</v>
      </c>
      <c r="G3" s="2" t="s">
        <v>23</v>
      </c>
      <c r="H3" s="2" t="s">
        <v>13</v>
      </c>
      <c r="I3" s="2" t="s">
        <v>24</v>
      </c>
      <c r="J3" s="2"/>
      <c r="K3" s="2" t="s">
        <v>25</v>
      </c>
      <c r="L3" s="2"/>
      <c r="M3" s="2"/>
    </row>
    <row r="4" customFormat="false" ht="35.05" hidden="false" customHeight="false" outlineLevel="0" collapsed="false">
      <c r="A4" s="2" t="s">
        <v>26</v>
      </c>
      <c r="B4" s="2" t="s">
        <v>3</v>
      </c>
      <c r="C4" s="2" t="s">
        <v>14</v>
      </c>
      <c r="D4" s="3" t="s">
        <v>27</v>
      </c>
      <c r="E4" s="2" t="s">
        <v>16</v>
      </c>
      <c r="F4" s="2" t="s">
        <v>28</v>
      </c>
      <c r="G4" s="2" t="s">
        <v>29</v>
      </c>
      <c r="H4" s="2" t="s">
        <v>13</v>
      </c>
      <c r="I4" s="2" t="s">
        <v>30</v>
      </c>
      <c r="J4" s="2"/>
      <c r="K4" s="2" t="s">
        <v>25</v>
      </c>
      <c r="L4" s="2"/>
      <c r="M4" s="2"/>
    </row>
    <row r="5" customFormat="false" ht="23.85" hidden="false" customHeight="false" outlineLevel="0" collapsed="false">
      <c r="A5" s="2" t="s">
        <v>31</v>
      </c>
      <c r="B5" s="2" t="s">
        <v>3</v>
      </c>
      <c r="C5" s="2" t="s">
        <v>14</v>
      </c>
      <c r="D5" s="3" t="s">
        <v>32</v>
      </c>
      <c r="E5" s="2" t="s">
        <v>16</v>
      </c>
      <c r="F5" s="2" t="s">
        <v>28</v>
      </c>
      <c r="G5" s="2" t="s">
        <v>33</v>
      </c>
      <c r="H5" s="2" t="s">
        <v>34</v>
      </c>
      <c r="I5" s="2" t="s">
        <v>35</v>
      </c>
      <c r="J5" s="2"/>
      <c r="K5" s="2" t="s">
        <v>20</v>
      </c>
      <c r="L5" s="2"/>
      <c r="M5" s="2"/>
    </row>
    <row r="6" customFormat="false" ht="46.25" hidden="false" customHeight="false" outlineLevel="0" collapsed="false">
      <c r="A6" s="2" t="s">
        <v>36</v>
      </c>
      <c r="B6" s="2" t="s">
        <v>37</v>
      </c>
      <c r="C6" s="2" t="s">
        <v>14</v>
      </c>
      <c r="D6" s="4" t="s">
        <v>38</v>
      </c>
      <c r="E6" s="2" t="s">
        <v>16</v>
      </c>
      <c r="F6" s="2" t="s">
        <v>28</v>
      </c>
      <c r="G6" s="2" t="s">
        <v>39</v>
      </c>
      <c r="H6" s="2" t="s">
        <v>40</v>
      </c>
      <c r="I6" s="2" t="s">
        <v>41</v>
      </c>
      <c r="J6" s="2"/>
      <c r="K6" s="2" t="s">
        <v>42</v>
      </c>
      <c r="L6" s="2"/>
      <c r="M6" s="2"/>
    </row>
    <row r="7" customFormat="false" ht="35.05" hidden="false" customHeight="false" outlineLevel="0" collapsed="false">
      <c r="A7" s="2" t="s">
        <v>43</v>
      </c>
      <c r="B7" s="2" t="s">
        <v>3</v>
      </c>
      <c r="C7" s="2" t="s">
        <v>14</v>
      </c>
      <c r="D7" s="3" t="s">
        <v>44</v>
      </c>
      <c r="E7" s="2" t="s">
        <v>16</v>
      </c>
      <c r="F7" s="2" t="s">
        <v>17</v>
      </c>
      <c r="G7" s="2" t="s">
        <v>45</v>
      </c>
      <c r="H7" s="2" t="s">
        <v>26</v>
      </c>
      <c r="I7" s="2" t="s">
        <v>46</v>
      </c>
      <c r="J7" s="2" t="s">
        <v>47</v>
      </c>
      <c r="K7" s="2" t="s">
        <v>25</v>
      </c>
      <c r="L7" s="2"/>
      <c r="M7" s="2"/>
    </row>
    <row r="8" customFormat="false" ht="35.05" hidden="false" customHeight="false" outlineLevel="0" collapsed="false">
      <c r="A8" s="2" t="s">
        <v>48</v>
      </c>
      <c r="B8" s="2" t="s">
        <v>3</v>
      </c>
      <c r="C8" s="2" t="s">
        <v>49</v>
      </c>
      <c r="D8" s="3" t="s">
        <v>50</v>
      </c>
      <c r="E8" s="2" t="s">
        <v>16</v>
      </c>
      <c r="F8" s="2" t="s">
        <v>17</v>
      </c>
      <c r="G8" s="2" t="s">
        <v>51</v>
      </c>
      <c r="H8" s="2" t="s">
        <v>26</v>
      </c>
      <c r="I8" s="2" t="s">
        <v>52</v>
      </c>
      <c r="J8" s="2"/>
      <c r="K8" s="2" t="s">
        <v>25</v>
      </c>
      <c r="L8" s="2"/>
      <c r="M8" s="2"/>
    </row>
    <row r="9" customFormat="false" ht="382.05" hidden="false" customHeight="false" outlineLevel="0" collapsed="false">
      <c r="A9" s="2" t="s">
        <v>53</v>
      </c>
      <c r="B9" s="2" t="s">
        <v>37</v>
      </c>
      <c r="C9" s="2" t="s">
        <v>49</v>
      </c>
      <c r="D9" s="4" t="s">
        <v>54</v>
      </c>
      <c r="E9" s="2" t="s">
        <v>16</v>
      </c>
      <c r="F9" s="2" t="s">
        <v>17</v>
      </c>
      <c r="G9" s="2" t="s">
        <v>55</v>
      </c>
      <c r="H9" s="2" t="s">
        <v>56</v>
      </c>
      <c r="I9" s="2" t="s">
        <v>57</v>
      </c>
      <c r="J9" s="2" t="s">
        <v>58</v>
      </c>
      <c r="K9" s="2" t="s">
        <v>25</v>
      </c>
      <c r="L9" s="2"/>
      <c r="M9" s="2"/>
    </row>
    <row r="10" customFormat="false" ht="214.15" hidden="false" customHeight="false" outlineLevel="0" collapsed="false">
      <c r="A10" s="2" t="s">
        <v>59</v>
      </c>
      <c r="B10" s="2" t="s">
        <v>3</v>
      </c>
      <c r="C10" s="2" t="s">
        <v>49</v>
      </c>
      <c r="D10" s="3" t="s">
        <v>60</v>
      </c>
      <c r="E10" s="2" t="s">
        <v>16</v>
      </c>
      <c r="F10" s="2" t="s">
        <v>28</v>
      </c>
      <c r="G10" s="2" t="s">
        <v>61</v>
      </c>
      <c r="H10" s="2"/>
      <c r="I10" s="2" t="s">
        <v>62</v>
      </c>
      <c r="J10" s="2" t="s">
        <v>63</v>
      </c>
      <c r="K10" s="2" t="s">
        <v>25</v>
      </c>
      <c r="L10" s="2"/>
      <c r="M10" s="2"/>
    </row>
    <row r="11" customFormat="false" ht="102.2" hidden="false" customHeight="false" outlineLevel="0" collapsed="false">
      <c r="A11" s="2" t="s">
        <v>64</v>
      </c>
      <c r="B11" s="2" t="s">
        <v>37</v>
      </c>
      <c r="C11" s="2" t="s">
        <v>49</v>
      </c>
      <c r="D11" s="4" t="s">
        <v>65</v>
      </c>
      <c r="E11" s="2" t="s">
        <v>16</v>
      </c>
      <c r="F11" s="2" t="s">
        <v>28</v>
      </c>
      <c r="G11" s="2" t="s">
        <v>66</v>
      </c>
      <c r="H11" s="2"/>
      <c r="I11" s="2" t="s">
        <v>67</v>
      </c>
      <c r="J11" s="2" t="s">
        <v>68</v>
      </c>
      <c r="K11" s="2" t="s">
        <v>42</v>
      </c>
      <c r="L11" s="2"/>
      <c r="M11" s="2"/>
    </row>
    <row r="12" customFormat="false" ht="91" hidden="false" customHeight="false" outlineLevel="0" collapsed="false">
      <c r="A12" s="2" t="s">
        <v>69</v>
      </c>
      <c r="B12" s="2" t="s">
        <v>37</v>
      </c>
      <c r="C12" s="2" t="s">
        <v>49</v>
      </c>
      <c r="D12" s="4" t="s">
        <v>70</v>
      </c>
      <c r="E12" s="2" t="s">
        <v>16</v>
      </c>
      <c r="F12" s="2" t="s">
        <v>28</v>
      </c>
      <c r="G12" s="2" t="s">
        <v>71</v>
      </c>
      <c r="H12" s="2" t="s">
        <v>72</v>
      </c>
      <c r="I12" s="2" t="s">
        <v>73</v>
      </c>
      <c r="J12" s="2" t="s">
        <v>74</v>
      </c>
      <c r="K12" s="2" t="s">
        <v>25</v>
      </c>
      <c r="L12" s="2"/>
      <c r="M12" s="2"/>
    </row>
    <row r="13" customFormat="false" ht="68.65" hidden="false" customHeight="false" outlineLevel="0" collapsed="false">
      <c r="A13" s="2" t="s">
        <v>75</v>
      </c>
      <c r="B13" s="2" t="s">
        <v>37</v>
      </c>
      <c r="C13" s="2" t="s">
        <v>49</v>
      </c>
      <c r="D13" s="4" t="s">
        <v>76</v>
      </c>
      <c r="E13" s="2" t="s">
        <v>16</v>
      </c>
      <c r="F13" s="2" t="s">
        <v>28</v>
      </c>
      <c r="G13" s="2" t="s">
        <v>77</v>
      </c>
      <c r="H13" s="2" t="s">
        <v>59</v>
      </c>
      <c r="I13" s="2" t="s">
        <v>78</v>
      </c>
      <c r="J13" s="2" t="s">
        <v>79</v>
      </c>
      <c r="K13" s="2" t="s">
        <v>25</v>
      </c>
      <c r="L13" s="2"/>
      <c r="M13" s="2"/>
    </row>
    <row r="14" customFormat="false" ht="46.25" hidden="false" customHeight="false" outlineLevel="0" collapsed="false">
      <c r="A14" s="2" t="s">
        <v>80</v>
      </c>
      <c r="B14" s="2" t="s">
        <v>3</v>
      </c>
      <c r="C14" s="2" t="s">
        <v>49</v>
      </c>
      <c r="D14" s="3" t="s">
        <v>81</v>
      </c>
      <c r="E14" s="2" t="s">
        <v>16</v>
      </c>
      <c r="F14" s="2" t="s">
        <v>17</v>
      </c>
      <c r="G14" s="2" t="s">
        <v>82</v>
      </c>
      <c r="H14" s="2" t="s">
        <v>83</v>
      </c>
      <c r="I14" s="2" t="s">
        <v>84</v>
      </c>
      <c r="J14" s="2" t="s">
        <v>85</v>
      </c>
      <c r="K14" s="2" t="s">
        <v>20</v>
      </c>
      <c r="L14" s="2"/>
      <c r="M14" s="2"/>
    </row>
    <row r="15" customFormat="false" ht="46.25" hidden="false" customHeight="false" outlineLevel="0" collapsed="false">
      <c r="A15" s="2" t="s">
        <v>86</v>
      </c>
      <c r="B15" s="2" t="s">
        <v>3</v>
      </c>
      <c r="C15" s="2" t="s">
        <v>49</v>
      </c>
      <c r="D15" s="3" t="s">
        <v>87</v>
      </c>
      <c r="E15" s="2" t="s">
        <v>16</v>
      </c>
      <c r="F15" s="2" t="s">
        <v>17</v>
      </c>
      <c r="G15" s="2" t="s">
        <v>88</v>
      </c>
      <c r="H15" s="2" t="s">
        <v>89</v>
      </c>
      <c r="I15" s="2" t="s">
        <v>90</v>
      </c>
      <c r="J15" s="2"/>
      <c r="K15" s="2" t="s">
        <v>42</v>
      </c>
      <c r="L15" s="2"/>
      <c r="M15" s="2"/>
    </row>
    <row r="16" customFormat="false" ht="46.25" hidden="false" customHeight="false" outlineLevel="0" collapsed="false">
      <c r="A16" s="2" t="s">
        <v>91</v>
      </c>
      <c r="B16" s="2" t="s">
        <v>37</v>
      </c>
      <c r="C16" s="2" t="s">
        <v>49</v>
      </c>
      <c r="D16" s="4" t="s">
        <v>92</v>
      </c>
      <c r="E16" s="2" t="s">
        <v>16</v>
      </c>
      <c r="F16" s="2" t="s">
        <v>28</v>
      </c>
      <c r="G16" s="2" t="s">
        <v>93</v>
      </c>
      <c r="H16" s="2"/>
      <c r="I16" s="2" t="s">
        <v>94</v>
      </c>
      <c r="J16" s="2"/>
      <c r="K16" s="2" t="s">
        <v>42</v>
      </c>
      <c r="L16" s="2"/>
      <c r="M16" s="2"/>
    </row>
    <row r="17" customFormat="false" ht="113.4" hidden="false" customHeight="false" outlineLevel="0" collapsed="false">
      <c r="A17" s="2" t="s">
        <v>95</v>
      </c>
      <c r="B17" s="2" t="s">
        <v>3</v>
      </c>
      <c r="C17" s="2" t="s">
        <v>49</v>
      </c>
      <c r="D17" s="3" t="s">
        <v>96</v>
      </c>
      <c r="E17" s="2" t="s">
        <v>16</v>
      </c>
      <c r="F17" s="2" t="s">
        <v>28</v>
      </c>
      <c r="G17" s="2" t="s">
        <v>97</v>
      </c>
      <c r="H17" s="2" t="s">
        <v>75</v>
      </c>
      <c r="I17" s="2" t="s">
        <v>98</v>
      </c>
      <c r="J17" s="2" t="s">
        <v>99</v>
      </c>
      <c r="K17" s="2" t="s">
        <v>42</v>
      </c>
      <c r="L17" s="2"/>
      <c r="M17" s="2"/>
    </row>
    <row r="18" customFormat="false" ht="23.85" hidden="false" customHeight="false" outlineLevel="0" collapsed="false">
      <c r="A18" s="2" t="s">
        <v>100</v>
      </c>
      <c r="B18" s="2" t="s">
        <v>3</v>
      </c>
      <c r="C18" s="2" t="s">
        <v>49</v>
      </c>
      <c r="D18" s="3" t="s">
        <v>101</v>
      </c>
      <c r="E18" s="2" t="s">
        <v>16</v>
      </c>
      <c r="F18" s="2" t="s">
        <v>17</v>
      </c>
      <c r="G18" s="2" t="s">
        <v>102</v>
      </c>
      <c r="H18" s="2" t="s">
        <v>21</v>
      </c>
      <c r="I18" s="2" t="s">
        <v>103</v>
      </c>
      <c r="J18" s="2"/>
      <c r="K18" s="2" t="s">
        <v>25</v>
      </c>
      <c r="L18" s="2"/>
      <c r="M18" s="2"/>
    </row>
    <row r="19" customFormat="false" ht="57.45" hidden="false" customHeight="false" outlineLevel="0" collapsed="false">
      <c r="A19" s="2" t="s">
        <v>104</v>
      </c>
      <c r="B19" s="2" t="s">
        <v>37</v>
      </c>
      <c r="C19" s="2" t="s">
        <v>49</v>
      </c>
      <c r="D19" s="4" t="s">
        <v>105</v>
      </c>
      <c r="E19" s="2" t="s">
        <v>16</v>
      </c>
      <c r="F19" s="2" t="s">
        <v>28</v>
      </c>
      <c r="G19" s="2" t="s">
        <v>106</v>
      </c>
      <c r="H19" s="2"/>
      <c r="I19" s="2" t="s">
        <v>107</v>
      </c>
      <c r="J19" s="2" t="s">
        <v>108</v>
      </c>
      <c r="K19" s="2" t="s">
        <v>42</v>
      </c>
      <c r="L19" s="2"/>
      <c r="M19" s="2"/>
    </row>
    <row r="20" customFormat="false" ht="79.85" hidden="false" customHeight="false" outlineLevel="0" collapsed="false">
      <c r="A20" s="2" t="s">
        <v>109</v>
      </c>
      <c r="B20" s="2" t="s">
        <v>3</v>
      </c>
      <c r="C20" s="2" t="s">
        <v>49</v>
      </c>
      <c r="D20" s="3" t="s">
        <v>110</v>
      </c>
      <c r="E20" s="2" t="s">
        <v>16</v>
      </c>
      <c r="F20" s="2" t="s">
        <v>17</v>
      </c>
      <c r="G20" s="2" t="s">
        <v>111</v>
      </c>
      <c r="H20" s="2" t="s">
        <v>59</v>
      </c>
      <c r="I20" s="2" t="s">
        <v>112</v>
      </c>
      <c r="J20" s="2" t="s">
        <v>113</v>
      </c>
      <c r="K20" s="2" t="s">
        <v>42</v>
      </c>
      <c r="L20" s="2"/>
      <c r="M20" s="2"/>
    </row>
    <row r="21" customFormat="false" ht="46.25" hidden="false" customHeight="false" outlineLevel="0" collapsed="false">
      <c r="A21" s="2" t="s">
        <v>114</v>
      </c>
      <c r="B21" s="2" t="s">
        <v>37</v>
      </c>
      <c r="C21" s="2" t="s">
        <v>49</v>
      </c>
      <c r="D21" s="4" t="s">
        <v>115</v>
      </c>
      <c r="E21" s="2" t="s">
        <v>16</v>
      </c>
      <c r="F21" s="2" t="s">
        <v>17</v>
      </c>
      <c r="G21" s="2" t="s">
        <v>116</v>
      </c>
      <c r="H21" s="2" t="s">
        <v>64</v>
      </c>
      <c r="I21" s="2" t="s">
        <v>117</v>
      </c>
      <c r="J21" s="2" t="s">
        <v>118</v>
      </c>
      <c r="K21" s="2" t="s">
        <v>119</v>
      </c>
      <c r="L21" s="2"/>
      <c r="M21" s="2"/>
    </row>
    <row r="22" customFormat="false" ht="23.85" hidden="false" customHeight="false" outlineLevel="0" collapsed="false">
      <c r="A22" s="2" t="s">
        <v>120</v>
      </c>
      <c r="B22" s="2" t="s">
        <v>3</v>
      </c>
      <c r="C22" s="2" t="s">
        <v>121</v>
      </c>
      <c r="D22" s="3" t="s">
        <v>122</v>
      </c>
      <c r="E22" s="2" t="s">
        <v>16</v>
      </c>
      <c r="F22" s="2" t="s">
        <v>17</v>
      </c>
      <c r="G22" s="2" t="s">
        <v>123</v>
      </c>
      <c r="H22" s="2" t="s">
        <v>26</v>
      </c>
      <c r="I22" s="2" t="s">
        <v>124</v>
      </c>
      <c r="J22" s="2"/>
      <c r="K22" s="2" t="s">
        <v>20</v>
      </c>
      <c r="L22" s="2"/>
      <c r="M22" s="2"/>
    </row>
    <row r="23" customFormat="false" ht="46.25" hidden="false" customHeight="false" outlineLevel="0" collapsed="false">
      <c r="A23" s="2" t="s">
        <v>125</v>
      </c>
      <c r="B23" s="2" t="s">
        <v>37</v>
      </c>
      <c r="C23" s="2" t="s">
        <v>121</v>
      </c>
      <c r="D23" s="4" t="s">
        <v>126</v>
      </c>
      <c r="E23" s="2" t="s">
        <v>16</v>
      </c>
      <c r="F23" s="2" t="s">
        <v>28</v>
      </c>
      <c r="G23" s="2" t="s">
        <v>127</v>
      </c>
      <c r="H23" s="2"/>
      <c r="I23" s="2" t="s">
        <v>128</v>
      </c>
      <c r="J23" s="2"/>
      <c r="K23" s="2" t="s">
        <v>42</v>
      </c>
      <c r="L23" s="2"/>
      <c r="M23" s="2"/>
    </row>
    <row r="24" customFormat="false" ht="23.85" hidden="false" customHeight="false" outlineLevel="0" collapsed="false">
      <c r="A24" s="2" t="s">
        <v>129</v>
      </c>
      <c r="B24" s="2" t="s">
        <v>3</v>
      </c>
      <c r="C24" s="2" t="s">
        <v>121</v>
      </c>
      <c r="D24" s="3" t="s">
        <v>130</v>
      </c>
      <c r="E24" s="2" t="s">
        <v>16</v>
      </c>
      <c r="F24" s="2" t="s">
        <v>17</v>
      </c>
      <c r="G24" s="2" t="s">
        <v>131</v>
      </c>
      <c r="H24" s="2" t="s">
        <v>120</v>
      </c>
      <c r="I24" s="2" t="s">
        <v>132</v>
      </c>
      <c r="J24" s="2"/>
      <c r="K24" s="2" t="s">
        <v>25</v>
      </c>
      <c r="L24" s="2"/>
      <c r="M24" s="2"/>
    </row>
    <row r="25" customFormat="false" ht="91" hidden="false" customHeight="false" outlineLevel="0" collapsed="false">
      <c r="A25" s="2" t="s">
        <v>133</v>
      </c>
      <c r="B25" s="2" t="s">
        <v>3</v>
      </c>
      <c r="C25" s="2" t="s">
        <v>121</v>
      </c>
      <c r="D25" s="3" t="s">
        <v>134</v>
      </c>
      <c r="E25" s="2" t="s">
        <v>16</v>
      </c>
      <c r="F25" s="2" t="s">
        <v>17</v>
      </c>
      <c r="G25" s="2" t="s">
        <v>135</v>
      </c>
      <c r="H25" s="2" t="s">
        <v>136</v>
      </c>
      <c r="I25" s="2" t="s">
        <v>137</v>
      </c>
      <c r="J25" s="2" t="s">
        <v>138</v>
      </c>
      <c r="K25" s="2" t="s">
        <v>42</v>
      </c>
      <c r="L25" s="2"/>
      <c r="M25" s="2"/>
    </row>
    <row r="26" customFormat="false" ht="46.25" hidden="false" customHeight="false" outlineLevel="0" collapsed="false">
      <c r="A26" s="2" t="s">
        <v>139</v>
      </c>
      <c r="B26" s="2" t="s">
        <v>37</v>
      </c>
      <c r="C26" s="2" t="s">
        <v>121</v>
      </c>
      <c r="D26" s="4" t="s">
        <v>140</v>
      </c>
      <c r="E26" s="2" t="s">
        <v>16</v>
      </c>
      <c r="F26" s="2" t="s">
        <v>28</v>
      </c>
      <c r="G26" s="2" t="s">
        <v>141</v>
      </c>
      <c r="H26" s="2"/>
      <c r="I26" s="2" t="s">
        <v>142</v>
      </c>
      <c r="J26" s="2"/>
      <c r="K26" s="2" t="s">
        <v>42</v>
      </c>
      <c r="L26" s="2"/>
      <c r="M26" s="2"/>
    </row>
    <row r="27" customFormat="false" ht="46.25" hidden="false" customHeight="false" outlineLevel="0" collapsed="false">
      <c r="A27" s="2" t="s">
        <v>143</v>
      </c>
      <c r="B27" s="2" t="s">
        <v>3</v>
      </c>
      <c r="C27" s="2" t="s">
        <v>121</v>
      </c>
      <c r="D27" s="3" t="s">
        <v>144</v>
      </c>
      <c r="E27" s="2" t="s">
        <v>16</v>
      </c>
      <c r="F27" s="2" t="s">
        <v>28</v>
      </c>
      <c r="G27" s="2" t="s">
        <v>145</v>
      </c>
      <c r="H27" s="2" t="s">
        <v>146</v>
      </c>
      <c r="I27" s="2" t="s">
        <v>147</v>
      </c>
      <c r="J27" s="2"/>
      <c r="K27" s="2" t="s">
        <v>25</v>
      </c>
      <c r="L27" s="2"/>
      <c r="M27" s="2"/>
    </row>
    <row r="28" customFormat="false" ht="46.25" hidden="false" customHeight="false" outlineLevel="0" collapsed="false">
      <c r="A28" s="2" t="s">
        <v>148</v>
      </c>
      <c r="B28" s="2" t="s">
        <v>37</v>
      </c>
      <c r="C28" s="2" t="s">
        <v>121</v>
      </c>
      <c r="D28" s="4" t="s">
        <v>149</v>
      </c>
      <c r="E28" s="2" t="s">
        <v>16</v>
      </c>
      <c r="F28" s="2" t="s">
        <v>28</v>
      </c>
      <c r="G28" s="2" t="s">
        <v>150</v>
      </c>
      <c r="H28" s="2"/>
      <c r="I28" s="2" t="s">
        <v>151</v>
      </c>
      <c r="J28" s="2" t="s">
        <v>152</v>
      </c>
      <c r="K28" s="2" t="s">
        <v>42</v>
      </c>
      <c r="L28" s="2"/>
      <c r="M28" s="2"/>
    </row>
    <row r="29" customFormat="false" ht="46.25" hidden="false" customHeight="false" outlineLevel="0" collapsed="false">
      <c r="A29" s="2" t="s">
        <v>153</v>
      </c>
      <c r="B29" s="2" t="s">
        <v>3</v>
      </c>
      <c r="C29" s="2" t="s">
        <v>121</v>
      </c>
      <c r="D29" s="3" t="s">
        <v>154</v>
      </c>
      <c r="E29" s="2" t="s">
        <v>16</v>
      </c>
      <c r="F29" s="2" t="s">
        <v>17</v>
      </c>
      <c r="G29" s="2" t="s">
        <v>155</v>
      </c>
      <c r="H29" s="2" t="s">
        <v>129</v>
      </c>
      <c r="I29" s="2" t="s">
        <v>156</v>
      </c>
      <c r="J29" s="2"/>
      <c r="K29" s="2" t="s">
        <v>42</v>
      </c>
      <c r="L29" s="2"/>
      <c r="M29" s="2"/>
    </row>
    <row r="30" customFormat="false" ht="79.85" hidden="false" customHeight="false" outlineLevel="0" collapsed="false">
      <c r="A30" s="2" t="s">
        <v>157</v>
      </c>
      <c r="B30" s="2" t="s">
        <v>3</v>
      </c>
      <c r="C30" s="2" t="s">
        <v>158</v>
      </c>
      <c r="D30" s="3" t="s">
        <v>159</v>
      </c>
      <c r="E30" s="2" t="s">
        <v>16</v>
      </c>
      <c r="F30" s="2" t="s">
        <v>17</v>
      </c>
      <c r="G30" s="2" t="s">
        <v>160</v>
      </c>
      <c r="H30" s="2" t="s">
        <v>21</v>
      </c>
      <c r="I30" s="2" t="s">
        <v>161</v>
      </c>
      <c r="J30" s="2" t="s">
        <v>162</v>
      </c>
      <c r="K30" s="2" t="s">
        <v>42</v>
      </c>
      <c r="L30" s="2"/>
      <c r="M30" s="2"/>
    </row>
    <row r="31" customFormat="false" ht="35.05" hidden="false" customHeight="false" outlineLevel="0" collapsed="false">
      <c r="A31" s="2" t="s">
        <v>163</v>
      </c>
      <c r="B31" s="2" t="s">
        <v>37</v>
      </c>
      <c r="C31" s="2" t="s">
        <v>158</v>
      </c>
      <c r="D31" s="4" t="s">
        <v>164</v>
      </c>
      <c r="E31" s="2" t="s">
        <v>16</v>
      </c>
      <c r="F31" s="2" t="s">
        <v>17</v>
      </c>
      <c r="G31" s="2" t="s">
        <v>165</v>
      </c>
      <c r="H31" s="2" t="s">
        <v>26</v>
      </c>
      <c r="I31" s="2" t="s">
        <v>166</v>
      </c>
      <c r="J31" s="2"/>
      <c r="K31" s="2" t="s">
        <v>20</v>
      </c>
      <c r="L31" s="2"/>
      <c r="M31" s="2"/>
    </row>
    <row r="32" customFormat="false" ht="46.25" hidden="false" customHeight="false" outlineLevel="0" collapsed="false">
      <c r="A32" s="2" t="s">
        <v>167</v>
      </c>
      <c r="B32" s="2" t="s">
        <v>3</v>
      </c>
      <c r="C32" s="2" t="s">
        <v>158</v>
      </c>
      <c r="D32" s="3" t="s">
        <v>168</v>
      </c>
      <c r="E32" s="2" t="s">
        <v>16</v>
      </c>
      <c r="F32" s="2" t="s">
        <v>17</v>
      </c>
      <c r="G32" s="2" t="s">
        <v>169</v>
      </c>
      <c r="H32" s="2" t="s">
        <v>157</v>
      </c>
      <c r="I32" s="2" t="s">
        <v>170</v>
      </c>
      <c r="J32" s="2" t="s">
        <v>171</v>
      </c>
      <c r="K32" s="2" t="s">
        <v>25</v>
      </c>
      <c r="L32" s="2"/>
      <c r="M32" s="2"/>
    </row>
    <row r="33" customFormat="false" ht="57.45" hidden="false" customHeight="false" outlineLevel="0" collapsed="false">
      <c r="A33" s="2" t="s">
        <v>172</v>
      </c>
      <c r="B33" s="2" t="s">
        <v>37</v>
      </c>
      <c r="C33" s="2" t="s">
        <v>158</v>
      </c>
      <c r="D33" s="4" t="s">
        <v>173</v>
      </c>
      <c r="E33" s="2" t="s">
        <v>16</v>
      </c>
      <c r="F33" s="2" t="s">
        <v>17</v>
      </c>
      <c r="G33" s="2" t="s">
        <v>174</v>
      </c>
      <c r="H33" s="2"/>
      <c r="I33" s="2" t="s">
        <v>175</v>
      </c>
      <c r="J33" s="2" t="s">
        <v>176</v>
      </c>
      <c r="K33" s="2" t="s">
        <v>25</v>
      </c>
      <c r="L33" s="2"/>
      <c r="M33" s="2"/>
    </row>
    <row r="34" customFormat="false" ht="46.25" hidden="false" customHeight="false" outlineLevel="0" collapsed="false">
      <c r="A34" s="2" t="s">
        <v>177</v>
      </c>
      <c r="B34" s="2" t="s">
        <v>37</v>
      </c>
      <c r="C34" s="2" t="s">
        <v>158</v>
      </c>
      <c r="D34" s="4" t="s">
        <v>178</v>
      </c>
      <c r="E34" s="2" t="s">
        <v>16</v>
      </c>
      <c r="F34" s="2" t="s">
        <v>28</v>
      </c>
      <c r="G34" s="2" t="s">
        <v>179</v>
      </c>
      <c r="H34" s="2"/>
      <c r="I34" s="2" t="s">
        <v>180</v>
      </c>
      <c r="J34" s="2" t="s">
        <v>181</v>
      </c>
      <c r="K34" s="2" t="s">
        <v>42</v>
      </c>
      <c r="L34" s="2"/>
      <c r="M34" s="2"/>
    </row>
    <row r="35" customFormat="false" ht="169.4" hidden="false" customHeight="false" outlineLevel="0" collapsed="false">
      <c r="A35" s="2" t="s">
        <v>182</v>
      </c>
      <c r="B35" s="2" t="s">
        <v>3</v>
      </c>
      <c r="C35" s="2" t="s">
        <v>158</v>
      </c>
      <c r="D35" s="3" t="s">
        <v>183</v>
      </c>
      <c r="E35" s="2" t="s">
        <v>16</v>
      </c>
      <c r="F35" s="2" t="s">
        <v>17</v>
      </c>
      <c r="G35" s="2" t="s">
        <v>184</v>
      </c>
      <c r="H35" s="2" t="s">
        <v>185</v>
      </c>
      <c r="I35" s="2" t="s">
        <v>186</v>
      </c>
      <c r="J35" s="2" t="s">
        <v>187</v>
      </c>
      <c r="K35" s="2" t="s">
        <v>42</v>
      </c>
      <c r="L35" s="2"/>
      <c r="M35" s="2"/>
    </row>
    <row r="36" customFormat="false" ht="57.45" hidden="false" customHeight="false" outlineLevel="0" collapsed="false">
      <c r="A36" s="2" t="s">
        <v>188</v>
      </c>
      <c r="B36" s="2" t="s">
        <v>3</v>
      </c>
      <c r="C36" s="2" t="s">
        <v>158</v>
      </c>
      <c r="D36" s="3" t="s">
        <v>189</v>
      </c>
      <c r="E36" s="2" t="s">
        <v>16</v>
      </c>
      <c r="F36" s="2" t="s">
        <v>28</v>
      </c>
      <c r="G36" s="2" t="s">
        <v>190</v>
      </c>
      <c r="H36" s="2"/>
      <c r="I36" s="2" t="s">
        <v>191</v>
      </c>
      <c r="J36" s="2"/>
      <c r="K36" s="2" t="s">
        <v>42</v>
      </c>
      <c r="L36" s="2"/>
      <c r="M36" s="2"/>
    </row>
    <row r="37" customFormat="false" ht="35.05" hidden="false" customHeight="false" outlineLevel="0" collapsed="false">
      <c r="A37" s="2" t="s">
        <v>192</v>
      </c>
      <c r="B37" s="2" t="s">
        <v>3</v>
      </c>
      <c r="C37" s="2" t="s">
        <v>158</v>
      </c>
      <c r="D37" s="3" t="s">
        <v>193</v>
      </c>
      <c r="E37" s="2" t="s">
        <v>16</v>
      </c>
      <c r="F37" s="2" t="s">
        <v>17</v>
      </c>
      <c r="G37" s="2" t="s">
        <v>194</v>
      </c>
      <c r="H37" s="2"/>
      <c r="I37" s="2" t="s">
        <v>195</v>
      </c>
      <c r="J37" s="2"/>
      <c r="K37" s="2" t="s">
        <v>42</v>
      </c>
      <c r="L37" s="2"/>
      <c r="M37" s="2"/>
    </row>
    <row r="38" customFormat="false" ht="46.25" hidden="false" customHeight="false" outlineLevel="0" collapsed="false">
      <c r="A38" s="2" t="s">
        <v>196</v>
      </c>
      <c r="B38" s="2" t="s">
        <v>3</v>
      </c>
      <c r="C38" s="2" t="s">
        <v>197</v>
      </c>
      <c r="D38" s="3" t="s">
        <v>198</v>
      </c>
      <c r="E38" s="2" t="s">
        <v>16</v>
      </c>
      <c r="F38" s="2" t="s">
        <v>17</v>
      </c>
      <c r="G38" s="2" t="s">
        <v>199</v>
      </c>
      <c r="H38" s="2" t="s">
        <v>200</v>
      </c>
      <c r="I38" s="2" t="s">
        <v>201</v>
      </c>
      <c r="J38" s="2"/>
      <c r="K38" s="2" t="s">
        <v>42</v>
      </c>
      <c r="L38" s="2"/>
      <c r="M38" s="2"/>
    </row>
    <row r="39" customFormat="false" ht="113.4" hidden="false" customHeight="false" outlineLevel="0" collapsed="false">
      <c r="A39" s="2" t="s">
        <v>202</v>
      </c>
      <c r="B39" s="2" t="s">
        <v>3</v>
      </c>
      <c r="C39" s="2" t="s">
        <v>197</v>
      </c>
      <c r="D39" s="3" t="s">
        <v>203</v>
      </c>
      <c r="E39" s="2" t="s">
        <v>16</v>
      </c>
      <c r="F39" s="2" t="s">
        <v>17</v>
      </c>
      <c r="G39" s="2" t="s">
        <v>204</v>
      </c>
      <c r="H39" s="2" t="s">
        <v>196</v>
      </c>
      <c r="I39" s="2" t="s">
        <v>205</v>
      </c>
      <c r="J39" s="2" t="s">
        <v>206</v>
      </c>
      <c r="K39" s="2" t="s">
        <v>42</v>
      </c>
      <c r="L39" s="2"/>
      <c r="M39" s="2"/>
    </row>
    <row r="40" customFormat="false" ht="23.85" hidden="false" customHeight="false" outlineLevel="0" collapsed="false">
      <c r="A40" s="2" t="s">
        <v>207</v>
      </c>
      <c r="B40" s="2" t="s">
        <v>37</v>
      </c>
      <c r="C40" s="2" t="s">
        <v>197</v>
      </c>
      <c r="D40" s="4" t="s">
        <v>208</v>
      </c>
      <c r="E40" s="2" t="s">
        <v>16</v>
      </c>
      <c r="F40" s="2" t="s">
        <v>28</v>
      </c>
      <c r="G40" s="2" t="s">
        <v>209</v>
      </c>
      <c r="H40" s="2"/>
      <c r="I40" s="2" t="s">
        <v>210</v>
      </c>
      <c r="J40" s="2"/>
      <c r="K40" s="2" t="s">
        <v>42</v>
      </c>
      <c r="L40" s="2"/>
      <c r="M40" s="2"/>
    </row>
    <row r="41" customFormat="false" ht="79.85" hidden="false" customHeight="false" outlineLevel="0" collapsed="false">
      <c r="A41" s="2" t="s">
        <v>211</v>
      </c>
      <c r="B41" s="2" t="s">
        <v>3</v>
      </c>
      <c r="C41" s="2" t="s">
        <v>197</v>
      </c>
      <c r="D41" s="3" t="s">
        <v>212</v>
      </c>
      <c r="E41" s="2" t="s">
        <v>16</v>
      </c>
      <c r="F41" s="2" t="s">
        <v>17</v>
      </c>
      <c r="G41" s="2" t="s">
        <v>213</v>
      </c>
      <c r="H41" s="2" t="s">
        <v>214</v>
      </c>
      <c r="I41" s="2" t="s">
        <v>215</v>
      </c>
      <c r="J41" s="2" t="s">
        <v>216</v>
      </c>
      <c r="K41" s="2" t="s">
        <v>42</v>
      </c>
      <c r="L41" s="2"/>
      <c r="M41" s="2"/>
    </row>
    <row r="42" customFormat="false" ht="169.4" hidden="false" customHeight="false" outlineLevel="0" collapsed="false">
      <c r="A42" s="2" t="s">
        <v>217</v>
      </c>
      <c r="B42" s="2" t="s">
        <v>3</v>
      </c>
      <c r="C42" s="2" t="s">
        <v>197</v>
      </c>
      <c r="D42" s="3" t="s">
        <v>218</v>
      </c>
      <c r="E42" s="2" t="s">
        <v>16</v>
      </c>
      <c r="F42" s="2" t="s">
        <v>28</v>
      </c>
      <c r="G42" s="2" t="s">
        <v>219</v>
      </c>
      <c r="H42" s="2" t="s">
        <v>211</v>
      </c>
      <c r="I42" s="2" t="s">
        <v>220</v>
      </c>
      <c r="J42" s="2" t="s">
        <v>221</v>
      </c>
      <c r="K42" s="2" t="s">
        <v>42</v>
      </c>
      <c r="L42" s="2"/>
      <c r="M42" s="2"/>
    </row>
    <row r="43" customFormat="false" ht="23.85" hidden="false" customHeight="false" outlineLevel="0" collapsed="false">
      <c r="A43" s="2" t="s">
        <v>222</v>
      </c>
      <c r="B43" s="2" t="s">
        <v>3</v>
      </c>
      <c r="C43" s="2" t="s">
        <v>197</v>
      </c>
      <c r="D43" s="3" t="s">
        <v>223</v>
      </c>
      <c r="E43" s="2" t="s">
        <v>16</v>
      </c>
      <c r="F43" s="2" t="s">
        <v>28</v>
      </c>
      <c r="G43" s="2" t="s">
        <v>224</v>
      </c>
      <c r="H43" s="2"/>
      <c r="I43" s="2" t="s">
        <v>225</v>
      </c>
      <c r="J43" s="2"/>
      <c r="K43" s="2" t="s">
        <v>25</v>
      </c>
      <c r="L43" s="2"/>
      <c r="M43" s="2"/>
    </row>
    <row r="44" customFormat="false" ht="23.85" hidden="false" customHeight="false" outlineLevel="0" collapsed="false">
      <c r="A44" s="2" t="s">
        <v>226</v>
      </c>
      <c r="B44" s="2" t="s">
        <v>3</v>
      </c>
      <c r="C44" s="2" t="s">
        <v>197</v>
      </c>
      <c r="D44" s="3" t="s">
        <v>227</v>
      </c>
      <c r="E44" s="2" t="s">
        <v>16</v>
      </c>
      <c r="F44" s="2" t="s">
        <v>17</v>
      </c>
      <c r="G44" s="2" t="s">
        <v>228</v>
      </c>
      <c r="H44" s="2" t="s">
        <v>129</v>
      </c>
      <c r="I44" s="2" t="s">
        <v>229</v>
      </c>
      <c r="J44" s="2"/>
      <c r="K44" s="2" t="s">
        <v>25</v>
      </c>
      <c r="L44" s="2"/>
      <c r="M44" s="2"/>
    </row>
    <row r="45" customFormat="false" ht="57.45" hidden="false" customHeight="false" outlineLevel="0" collapsed="false">
      <c r="A45" s="2" t="s">
        <v>230</v>
      </c>
      <c r="B45" s="2" t="s">
        <v>3</v>
      </c>
      <c r="C45" s="2" t="s">
        <v>197</v>
      </c>
      <c r="D45" s="3" t="s">
        <v>231</v>
      </c>
      <c r="E45" s="2" t="s">
        <v>16</v>
      </c>
      <c r="F45" s="2" t="s">
        <v>28</v>
      </c>
      <c r="G45" s="2" t="s">
        <v>232</v>
      </c>
      <c r="H45" s="2" t="s">
        <v>196</v>
      </c>
      <c r="I45" s="2" t="s">
        <v>233</v>
      </c>
      <c r="J45" s="2"/>
      <c r="K45" s="2" t="s">
        <v>42</v>
      </c>
      <c r="L45" s="2"/>
      <c r="M45" s="2"/>
    </row>
    <row r="46" customFormat="false" ht="147" hidden="false" customHeight="false" outlineLevel="0" collapsed="false">
      <c r="A46" s="2" t="s">
        <v>234</v>
      </c>
      <c r="B46" s="2" t="s">
        <v>3</v>
      </c>
      <c r="C46" s="2" t="s">
        <v>235</v>
      </c>
      <c r="D46" s="3" t="s">
        <v>236</v>
      </c>
      <c r="E46" s="2" t="s">
        <v>16</v>
      </c>
      <c r="F46" s="2" t="s">
        <v>17</v>
      </c>
      <c r="G46" s="2" t="s">
        <v>237</v>
      </c>
      <c r="H46" s="2"/>
      <c r="I46" s="2" t="s">
        <v>238</v>
      </c>
      <c r="J46" s="2" t="s">
        <v>239</v>
      </c>
      <c r="K46" s="2" t="s">
        <v>42</v>
      </c>
      <c r="L46" s="2"/>
      <c r="M46" s="2"/>
    </row>
    <row r="47" customFormat="false" ht="35.05" hidden="false" customHeight="false" outlineLevel="0" collapsed="false">
      <c r="A47" s="2" t="s">
        <v>72</v>
      </c>
      <c r="B47" s="2" t="s">
        <v>3</v>
      </c>
      <c r="C47" s="2" t="s">
        <v>235</v>
      </c>
      <c r="D47" s="3" t="s">
        <v>240</v>
      </c>
      <c r="E47" s="2" t="s">
        <v>16</v>
      </c>
      <c r="F47" s="2" t="s">
        <v>17</v>
      </c>
      <c r="G47" s="2" t="s">
        <v>241</v>
      </c>
      <c r="H47" s="2"/>
      <c r="I47" s="2" t="s">
        <v>242</v>
      </c>
      <c r="J47" s="2" t="s">
        <v>243</v>
      </c>
      <c r="K47" s="2" t="s">
        <v>25</v>
      </c>
      <c r="L47" s="2"/>
      <c r="M47" s="2"/>
    </row>
    <row r="48" customFormat="false" ht="79.85" hidden="false" customHeight="false" outlineLevel="0" collapsed="false">
      <c r="A48" s="2" t="s">
        <v>244</v>
      </c>
      <c r="B48" s="2" t="s">
        <v>3</v>
      </c>
      <c r="C48" s="2" t="s">
        <v>235</v>
      </c>
      <c r="D48" s="3" t="s">
        <v>245</v>
      </c>
      <c r="E48" s="2" t="s">
        <v>16</v>
      </c>
      <c r="F48" s="2" t="s">
        <v>17</v>
      </c>
      <c r="G48" s="2" t="s">
        <v>246</v>
      </c>
      <c r="H48" s="2" t="s">
        <v>72</v>
      </c>
      <c r="I48" s="2" t="s">
        <v>247</v>
      </c>
      <c r="J48" s="2" t="s">
        <v>248</v>
      </c>
      <c r="K48" s="2" t="s">
        <v>25</v>
      </c>
      <c r="L48" s="2"/>
      <c r="M48" s="2"/>
    </row>
    <row r="49" customFormat="false" ht="91" hidden="false" customHeight="false" outlineLevel="0" collapsed="false">
      <c r="A49" s="2" t="s">
        <v>249</v>
      </c>
      <c r="B49" s="2" t="s">
        <v>3</v>
      </c>
      <c r="C49" s="2" t="s">
        <v>235</v>
      </c>
      <c r="D49" s="3" t="s">
        <v>250</v>
      </c>
      <c r="E49" s="2" t="s">
        <v>16</v>
      </c>
      <c r="F49" s="2" t="s">
        <v>17</v>
      </c>
      <c r="G49" s="2" t="s">
        <v>251</v>
      </c>
      <c r="H49" s="2" t="s">
        <v>252</v>
      </c>
      <c r="I49" s="2" t="s">
        <v>253</v>
      </c>
      <c r="J49" s="2" t="s">
        <v>254</v>
      </c>
      <c r="K49" s="2" t="s">
        <v>20</v>
      </c>
      <c r="L49" s="2"/>
      <c r="M49" s="2"/>
    </row>
    <row r="50" customFormat="false" ht="46.25" hidden="false" customHeight="false" outlineLevel="0" collapsed="false">
      <c r="A50" s="2" t="s">
        <v>255</v>
      </c>
      <c r="B50" s="2" t="s">
        <v>3</v>
      </c>
      <c r="C50" s="2" t="s">
        <v>235</v>
      </c>
      <c r="D50" s="3" t="s">
        <v>256</v>
      </c>
      <c r="E50" s="2" t="s">
        <v>16</v>
      </c>
      <c r="F50" s="2" t="s">
        <v>17</v>
      </c>
      <c r="G50" s="2" t="s">
        <v>257</v>
      </c>
      <c r="H50" s="2" t="s">
        <v>258</v>
      </c>
      <c r="I50" s="2" t="s">
        <v>259</v>
      </c>
      <c r="J50" s="2" t="s">
        <v>260</v>
      </c>
      <c r="K50" s="2" t="s">
        <v>42</v>
      </c>
      <c r="L50" s="2"/>
      <c r="M50" s="2"/>
    </row>
    <row r="51" customFormat="false" ht="113.4" hidden="false" customHeight="false" outlineLevel="0" collapsed="false">
      <c r="A51" s="2" t="s">
        <v>261</v>
      </c>
      <c r="B51" s="2" t="s">
        <v>37</v>
      </c>
      <c r="C51" s="2" t="s">
        <v>235</v>
      </c>
      <c r="D51" s="4" t="s">
        <v>262</v>
      </c>
      <c r="E51" s="2" t="s">
        <v>16</v>
      </c>
      <c r="F51" s="2" t="s">
        <v>28</v>
      </c>
      <c r="G51" s="2" t="s">
        <v>263</v>
      </c>
      <c r="H51" s="2" t="s">
        <v>64</v>
      </c>
      <c r="I51" s="2" t="s">
        <v>264</v>
      </c>
      <c r="J51" s="2" t="s">
        <v>265</v>
      </c>
      <c r="K51" s="2" t="s">
        <v>42</v>
      </c>
      <c r="L51" s="2"/>
      <c r="M51" s="2"/>
    </row>
    <row r="52" customFormat="false" ht="46.25" hidden="false" customHeight="false" outlineLevel="0" collapsed="false">
      <c r="A52" s="2" t="s">
        <v>266</v>
      </c>
      <c r="B52" s="2" t="s">
        <v>3</v>
      </c>
      <c r="C52" s="2" t="s">
        <v>235</v>
      </c>
      <c r="D52" s="3" t="s">
        <v>267</v>
      </c>
      <c r="E52" s="2" t="s">
        <v>16</v>
      </c>
      <c r="F52" s="2" t="s">
        <v>17</v>
      </c>
      <c r="G52" s="2" t="s">
        <v>268</v>
      </c>
      <c r="H52" s="2"/>
      <c r="I52" s="2" t="s">
        <v>269</v>
      </c>
      <c r="J52" s="2" t="s">
        <v>270</v>
      </c>
      <c r="K52" s="2" t="s">
        <v>20</v>
      </c>
      <c r="L52" s="2"/>
      <c r="M52" s="2"/>
    </row>
    <row r="53" customFormat="false" ht="46.25" hidden="false" customHeight="false" outlineLevel="0" collapsed="false">
      <c r="A53" s="2" t="s">
        <v>271</v>
      </c>
      <c r="B53" s="2" t="s">
        <v>3</v>
      </c>
      <c r="C53" s="2" t="s">
        <v>235</v>
      </c>
      <c r="D53" s="3" t="s">
        <v>272</v>
      </c>
      <c r="E53" s="2" t="s">
        <v>16</v>
      </c>
      <c r="F53" s="2" t="s">
        <v>17</v>
      </c>
      <c r="G53" s="2" t="s">
        <v>273</v>
      </c>
      <c r="H53" s="2" t="s">
        <v>274</v>
      </c>
      <c r="I53" s="2" t="s">
        <v>275</v>
      </c>
      <c r="J53" s="2" t="s">
        <v>276</v>
      </c>
      <c r="K53" s="2" t="s">
        <v>20</v>
      </c>
      <c r="L53" s="2"/>
      <c r="M53" s="2"/>
    </row>
    <row r="54" customFormat="false" ht="46.25" hidden="false" customHeight="false" outlineLevel="0" collapsed="false">
      <c r="A54" s="2" t="s">
        <v>277</v>
      </c>
      <c r="B54" s="2" t="s">
        <v>37</v>
      </c>
      <c r="C54" s="2" t="s">
        <v>235</v>
      </c>
      <c r="D54" s="4" t="s">
        <v>278</v>
      </c>
      <c r="E54" s="2" t="s">
        <v>16</v>
      </c>
      <c r="F54" s="2" t="s">
        <v>28</v>
      </c>
      <c r="G54" s="2" t="s">
        <v>279</v>
      </c>
      <c r="H54" s="2" t="s">
        <v>167</v>
      </c>
      <c r="I54" s="2" t="s">
        <v>280</v>
      </c>
      <c r="J54" s="2" t="s">
        <v>281</v>
      </c>
      <c r="K54" s="2" t="s">
        <v>25</v>
      </c>
      <c r="L54" s="2"/>
      <c r="M54" s="2"/>
    </row>
    <row r="55" customFormat="false" ht="79.85" hidden="false" customHeight="false" outlineLevel="0" collapsed="false">
      <c r="A55" s="2" t="s">
        <v>282</v>
      </c>
      <c r="B55" s="2" t="s">
        <v>3</v>
      </c>
      <c r="C55" s="2" t="s">
        <v>235</v>
      </c>
      <c r="D55" s="3" t="s">
        <v>283</v>
      </c>
      <c r="E55" s="2" t="s">
        <v>16</v>
      </c>
      <c r="F55" s="2" t="s">
        <v>28</v>
      </c>
      <c r="G55" s="2" t="s">
        <v>284</v>
      </c>
      <c r="H55" s="2" t="s">
        <v>285</v>
      </c>
      <c r="I55" s="2" t="s">
        <v>286</v>
      </c>
      <c r="J55" s="2" t="s">
        <v>287</v>
      </c>
      <c r="K55" s="2" t="s">
        <v>119</v>
      </c>
      <c r="L55" s="2"/>
      <c r="M55" s="2"/>
    </row>
    <row r="56" customFormat="false" ht="35.05" hidden="false" customHeight="false" outlineLevel="0" collapsed="false">
      <c r="A56" s="2" t="s">
        <v>288</v>
      </c>
      <c r="B56" s="2" t="s">
        <v>3</v>
      </c>
      <c r="C56" s="2" t="s">
        <v>289</v>
      </c>
      <c r="D56" s="3" t="s">
        <v>290</v>
      </c>
      <c r="E56" s="2" t="s">
        <v>16</v>
      </c>
      <c r="F56" s="2" t="s">
        <v>28</v>
      </c>
      <c r="G56" s="2" t="s">
        <v>291</v>
      </c>
      <c r="H56" s="2"/>
      <c r="I56" s="2" t="s">
        <v>292</v>
      </c>
      <c r="J56" s="2"/>
      <c r="K56" s="2" t="s">
        <v>20</v>
      </c>
      <c r="L56" s="2"/>
      <c r="M56" s="2"/>
    </row>
    <row r="57" customFormat="false" ht="23.85" hidden="false" customHeight="false" outlineLevel="0" collapsed="false">
      <c r="A57" s="2" t="s">
        <v>293</v>
      </c>
      <c r="B57" s="2" t="s">
        <v>37</v>
      </c>
      <c r="C57" s="2" t="s">
        <v>289</v>
      </c>
      <c r="D57" s="4" t="s">
        <v>294</v>
      </c>
      <c r="E57" s="2" t="s">
        <v>16</v>
      </c>
      <c r="F57" s="2" t="s">
        <v>17</v>
      </c>
      <c r="G57" s="2" t="s">
        <v>295</v>
      </c>
      <c r="H57" s="2"/>
      <c r="I57" s="2" t="s">
        <v>296</v>
      </c>
      <c r="J57" s="2"/>
      <c r="K57" s="2" t="s">
        <v>25</v>
      </c>
      <c r="L57" s="2"/>
      <c r="M57" s="2"/>
    </row>
    <row r="58" customFormat="false" ht="46.25" hidden="false" customHeight="false" outlineLevel="0" collapsed="false">
      <c r="A58" s="2" t="s">
        <v>297</v>
      </c>
      <c r="B58" s="2" t="s">
        <v>3</v>
      </c>
      <c r="C58" s="2" t="s">
        <v>289</v>
      </c>
      <c r="D58" s="3" t="s">
        <v>298</v>
      </c>
      <c r="E58" s="2" t="s">
        <v>16</v>
      </c>
      <c r="F58" s="2" t="s">
        <v>17</v>
      </c>
      <c r="G58" s="2" t="s">
        <v>299</v>
      </c>
      <c r="H58" s="2" t="s">
        <v>274</v>
      </c>
      <c r="I58" s="2" t="s">
        <v>300</v>
      </c>
      <c r="J58" s="2"/>
      <c r="K58" s="2" t="s">
        <v>25</v>
      </c>
      <c r="L58" s="2"/>
      <c r="M58" s="2"/>
    </row>
    <row r="59" customFormat="false" ht="46.25" hidden="false" customHeight="false" outlineLevel="0" collapsed="false">
      <c r="A59" s="2" t="s">
        <v>301</v>
      </c>
      <c r="B59" s="2" t="s">
        <v>37</v>
      </c>
      <c r="C59" s="2" t="s">
        <v>289</v>
      </c>
      <c r="D59" s="4" t="s">
        <v>302</v>
      </c>
      <c r="E59" s="2" t="s">
        <v>16</v>
      </c>
      <c r="F59" s="2" t="s">
        <v>28</v>
      </c>
      <c r="G59" s="2" t="s">
        <v>303</v>
      </c>
      <c r="H59" s="2" t="s">
        <v>146</v>
      </c>
      <c r="I59" s="2" t="s">
        <v>304</v>
      </c>
      <c r="J59" s="2" t="s">
        <v>305</v>
      </c>
      <c r="K59" s="2" t="s">
        <v>42</v>
      </c>
      <c r="L59" s="2"/>
      <c r="M59" s="2"/>
    </row>
    <row r="60" customFormat="false" ht="35.05" hidden="false" customHeight="false" outlineLevel="0" collapsed="false">
      <c r="A60" s="2" t="s">
        <v>89</v>
      </c>
      <c r="B60" s="2" t="s">
        <v>3</v>
      </c>
      <c r="C60" s="2" t="s">
        <v>289</v>
      </c>
      <c r="D60" s="3" t="s">
        <v>306</v>
      </c>
      <c r="E60" s="2" t="s">
        <v>16</v>
      </c>
      <c r="F60" s="2" t="s">
        <v>28</v>
      </c>
      <c r="G60" s="2" t="s">
        <v>307</v>
      </c>
      <c r="H60" s="2"/>
      <c r="I60" s="2" t="s">
        <v>308</v>
      </c>
      <c r="J60" s="2"/>
      <c r="K60" s="2" t="s">
        <v>25</v>
      </c>
      <c r="L60" s="2"/>
      <c r="M60" s="2"/>
    </row>
    <row r="61" customFormat="false" ht="57.45" hidden="false" customHeight="false" outlineLevel="0" collapsed="false">
      <c r="A61" s="2" t="s">
        <v>309</v>
      </c>
      <c r="B61" s="2" t="s">
        <v>3</v>
      </c>
      <c r="C61" s="2" t="s">
        <v>289</v>
      </c>
      <c r="D61" s="3" t="s">
        <v>310</v>
      </c>
      <c r="E61" s="2" t="s">
        <v>16</v>
      </c>
      <c r="F61" s="2" t="s">
        <v>17</v>
      </c>
      <c r="G61" s="2" t="s">
        <v>311</v>
      </c>
      <c r="H61" s="2" t="s">
        <v>312</v>
      </c>
      <c r="I61" s="2" t="s">
        <v>313</v>
      </c>
      <c r="J61" s="2" t="s">
        <v>314</v>
      </c>
      <c r="K61" s="2" t="s">
        <v>25</v>
      </c>
      <c r="L61" s="2"/>
      <c r="M61" s="2"/>
    </row>
    <row r="62" customFormat="false" ht="35.05" hidden="false" customHeight="false" outlineLevel="0" collapsed="false">
      <c r="A62" s="2" t="s">
        <v>315</v>
      </c>
      <c r="B62" s="2" t="s">
        <v>3</v>
      </c>
      <c r="C62" s="2" t="s">
        <v>289</v>
      </c>
      <c r="D62" s="3" t="s">
        <v>316</v>
      </c>
      <c r="E62" s="2" t="s">
        <v>16</v>
      </c>
      <c r="F62" s="2" t="s">
        <v>28</v>
      </c>
      <c r="G62" s="2" t="s">
        <v>317</v>
      </c>
      <c r="H62" s="2" t="s">
        <v>288</v>
      </c>
      <c r="I62" s="2" t="s">
        <v>166</v>
      </c>
      <c r="J62" s="2" t="s">
        <v>318</v>
      </c>
      <c r="K62" s="2" t="s">
        <v>20</v>
      </c>
      <c r="L62" s="2"/>
      <c r="M62" s="2"/>
    </row>
    <row r="63" customFormat="false" ht="35.05" hidden="false" customHeight="false" outlineLevel="0" collapsed="false">
      <c r="A63" s="2" t="s">
        <v>319</v>
      </c>
      <c r="B63" s="2" t="s">
        <v>3</v>
      </c>
      <c r="C63" s="2" t="s">
        <v>289</v>
      </c>
      <c r="D63" s="3" t="s">
        <v>320</v>
      </c>
      <c r="E63" s="2" t="s">
        <v>16</v>
      </c>
      <c r="F63" s="2" t="s">
        <v>17</v>
      </c>
      <c r="G63" s="2" t="s">
        <v>321</v>
      </c>
      <c r="H63" s="2"/>
      <c r="I63" s="2" t="s">
        <v>322</v>
      </c>
      <c r="J63" s="2"/>
      <c r="K63" s="2" t="s">
        <v>25</v>
      </c>
      <c r="L63" s="2"/>
      <c r="M63" s="2"/>
    </row>
    <row r="64" customFormat="false" ht="23.85" hidden="false" customHeight="false" outlineLevel="0" collapsed="false">
      <c r="A64" s="2" t="s">
        <v>323</v>
      </c>
      <c r="B64" s="2" t="s">
        <v>37</v>
      </c>
      <c r="C64" s="2" t="s">
        <v>289</v>
      </c>
      <c r="D64" s="4" t="s">
        <v>324</v>
      </c>
      <c r="E64" s="2" t="s">
        <v>16</v>
      </c>
      <c r="F64" s="2" t="s">
        <v>28</v>
      </c>
      <c r="G64" s="2" t="s">
        <v>325</v>
      </c>
      <c r="H64" s="2" t="s">
        <v>319</v>
      </c>
      <c r="I64" s="2" t="s">
        <v>326</v>
      </c>
      <c r="J64" s="2"/>
      <c r="K64" s="2" t="s">
        <v>20</v>
      </c>
      <c r="L64" s="2"/>
      <c r="M64" s="2"/>
    </row>
    <row r="65" customFormat="false" ht="35.05" hidden="false" customHeight="false" outlineLevel="0" collapsed="false">
      <c r="A65" s="2" t="s">
        <v>327</v>
      </c>
      <c r="B65" s="2" t="s">
        <v>3</v>
      </c>
      <c r="C65" s="2" t="s">
        <v>328</v>
      </c>
      <c r="D65" s="3" t="s">
        <v>329</v>
      </c>
      <c r="E65" s="2" t="s">
        <v>16</v>
      </c>
      <c r="F65" s="2" t="s">
        <v>17</v>
      </c>
      <c r="G65" s="2" t="s">
        <v>330</v>
      </c>
      <c r="H65" s="2" t="s">
        <v>26</v>
      </c>
      <c r="I65" s="2" t="s">
        <v>331</v>
      </c>
      <c r="J65" s="2" t="s">
        <v>332</v>
      </c>
      <c r="K65" s="2" t="s">
        <v>25</v>
      </c>
      <c r="L65" s="2"/>
      <c r="M65" s="2"/>
    </row>
    <row r="66" customFormat="false" ht="68.65" hidden="false" customHeight="false" outlineLevel="0" collapsed="false">
      <c r="A66" s="2" t="s">
        <v>333</v>
      </c>
      <c r="B66" s="2" t="s">
        <v>3</v>
      </c>
      <c r="C66" s="2" t="s">
        <v>328</v>
      </c>
      <c r="D66" s="3" t="s">
        <v>334</v>
      </c>
      <c r="E66" s="2" t="s">
        <v>16</v>
      </c>
      <c r="F66" s="2" t="s">
        <v>17</v>
      </c>
      <c r="G66" s="2" t="s">
        <v>335</v>
      </c>
      <c r="H66" s="2" t="s">
        <v>59</v>
      </c>
      <c r="I66" s="2" t="s">
        <v>336</v>
      </c>
      <c r="J66" s="2" t="s">
        <v>337</v>
      </c>
      <c r="K66" s="2" t="s">
        <v>25</v>
      </c>
      <c r="L66" s="2"/>
      <c r="M66" s="2"/>
    </row>
    <row r="67" customFormat="false" ht="23.85" hidden="false" customHeight="false" outlineLevel="0" collapsed="false">
      <c r="A67" s="2" t="s">
        <v>338</v>
      </c>
      <c r="B67" s="2" t="s">
        <v>3</v>
      </c>
      <c r="C67" s="2" t="s">
        <v>328</v>
      </c>
      <c r="D67" s="3" t="s">
        <v>339</v>
      </c>
      <c r="E67" s="2" t="s">
        <v>16</v>
      </c>
      <c r="F67" s="2" t="s">
        <v>28</v>
      </c>
      <c r="G67" s="2" t="s">
        <v>340</v>
      </c>
      <c r="H67" s="2" t="s">
        <v>43</v>
      </c>
      <c r="I67" s="2" t="s">
        <v>341</v>
      </c>
      <c r="J67" s="2"/>
      <c r="K67" s="2" t="s">
        <v>25</v>
      </c>
      <c r="L67" s="2"/>
      <c r="M67" s="2"/>
    </row>
    <row r="68" customFormat="false" ht="247.75" hidden="false" customHeight="false" outlineLevel="0" collapsed="false">
      <c r="A68" s="2" t="s">
        <v>342</v>
      </c>
      <c r="B68" s="2" t="s">
        <v>3</v>
      </c>
      <c r="C68" s="2" t="s">
        <v>328</v>
      </c>
      <c r="D68" s="3" t="s">
        <v>343</v>
      </c>
      <c r="E68" s="2" t="s">
        <v>16</v>
      </c>
      <c r="F68" s="2" t="s">
        <v>28</v>
      </c>
      <c r="G68" s="2" t="s">
        <v>344</v>
      </c>
      <c r="H68" s="2" t="s">
        <v>167</v>
      </c>
      <c r="I68" s="2" t="s">
        <v>345</v>
      </c>
      <c r="J68" s="2" t="s">
        <v>346</v>
      </c>
      <c r="K68" s="2" t="s">
        <v>25</v>
      </c>
      <c r="L68" s="2"/>
      <c r="M68" s="2"/>
    </row>
    <row r="69" customFormat="false" ht="91" hidden="false" customHeight="false" outlineLevel="0" collapsed="false">
      <c r="A69" s="2" t="s">
        <v>347</v>
      </c>
      <c r="B69" s="2" t="s">
        <v>3</v>
      </c>
      <c r="C69" s="2" t="s">
        <v>328</v>
      </c>
      <c r="D69" s="3" t="s">
        <v>348</v>
      </c>
      <c r="E69" s="2" t="s">
        <v>16</v>
      </c>
      <c r="F69" s="2" t="s">
        <v>17</v>
      </c>
      <c r="G69" s="2" t="s">
        <v>349</v>
      </c>
      <c r="H69" s="2" t="s">
        <v>211</v>
      </c>
      <c r="I69" s="2" t="s">
        <v>350</v>
      </c>
      <c r="J69" s="2" t="s">
        <v>351</v>
      </c>
      <c r="K69" s="2" t="s">
        <v>20</v>
      </c>
      <c r="L69" s="2"/>
      <c r="M69" s="2"/>
    </row>
    <row r="70" customFormat="false" ht="147" hidden="false" customHeight="false" outlineLevel="0" collapsed="false">
      <c r="A70" s="2" t="s">
        <v>56</v>
      </c>
      <c r="B70" s="2" t="s">
        <v>3</v>
      </c>
      <c r="C70" s="2" t="s">
        <v>352</v>
      </c>
      <c r="D70" s="3" t="s">
        <v>353</v>
      </c>
      <c r="E70" s="2" t="s">
        <v>16</v>
      </c>
      <c r="F70" s="2" t="s">
        <v>17</v>
      </c>
      <c r="G70" s="2" t="s">
        <v>354</v>
      </c>
      <c r="H70" s="2" t="s">
        <v>26</v>
      </c>
      <c r="I70" s="2" t="s">
        <v>355</v>
      </c>
      <c r="J70" s="2" t="s">
        <v>356</v>
      </c>
      <c r="K70" s="2" t="s">
        <v>25</v>
      </c>
      <c r="L70" s="2"/>
      <c r="M70" s="2"/>
    </row>
    <row r="71" customFormat="false" ht="91" hidden="false" customHeight="false" outlineLevel="0" collapsed="false">
      <c r="A71" s="2" t="s">
        <v>357</v>
      </c>
      <c r="B71" s="2" t="s">
        <v>3</v>
      </c>
      <c r="C71" s="2" t="s">
        <v>352</v>
      </c>
      <c r="D71" s="3" t="s">
        <v>358</v>
      </c>
      <c r="E71" s="2" t="s">
        <v>16</v>
      </c>
      <c r="F71" s="2" t="s">
        <v>28</v>
      </c>
      <c r="G71" s="2" t="s">
        <v>359</v>
      </c>
      <c r="H71" s="2" t="s">
        <v>43</v>
      </c>
      <c r="I71" s="2" t="s">
        <v>360</v>
      </c>
      <c r="J71" s="2" t="s">
        <v>361</v>
      </c>
      <c r="K71" s="2" t="s">
        <v>42</v>
      </c>
      <c r="L71" s="2"/>
      <c r="M71" s="2"/>
    </row>
    <row r="72" customFormat="false" ht="102.2" hidden="false" customHeight="false" outlineLevel="0" collapsed="false">
      <c r="A72" s="2" t="s">
        <v>362</v>
      </c>
      <c r="B72" s="2" t="s">
        <v>3</v>
      </c>
      <c r="C72" s="2" t="s">
        <v>352</v>
      </c>
      <c r="D72" s="3" t="s">
        <v>363</v>
      </c>
      <c r="E72" s="2" t="s">
        <v>16</v>
      </c>
      <c r="F72" s="2" t="s">
        <v>28</v>
      </c>
      <c r="G72" s="2" t="s">
        <v>364</v>
      </c>
      <c r="H72" s="2"/>
      <c r="I72" s="2" t="s">
        <v>365</v>
      </c>
      <c r="J72" s="2" t="s">
        <v>366</v>
      </c>
      <c r="K72" s="2" t="s">
        <v>42</v>
      </c>
      <c r="L72" s="2"/>
      <c r="M72" s="2"/>
    </row>
    <row r="73" customFormat="false" ht="35.05" hidden="false" customHeight="false" outlineLevel="0" collapsed="false">
      <c r="A73" s="2" t="s">
        <v>367</v>
      </c>
      <c r="B73" s="2" t="s">
        <v>3</v>
      </c>
      <c r="C73" s="2" t="s">
        <v>352</v>
      </c>
      <c r="D73" s="3" t="s">
        <v>368</v>
      </c>
      <c r="E73" s="2" t="s">
        <v>16</v>
      </c>
      <c r="F73" s="2" t="s">
        <v>28</v>
      </c>
      <c r="G73" s="2" t="s">
        <v>369</v>
      </c>
      <c r="H73" s="2"/>
      <c r="I73" s="2" t="s">
        <v>166</v>
      </c>
      <c r="J73" s="2"/>
      <c r="K73" s="2" t="s">
        <v>20</v>
      </c>
      <c r="L73" s="2"/>
      <c r="M73" s="2"/>
    </row>
    <row r="74" customFormat="false" ht="46.25" hidden="false" customHeight="false" outlineLevel="0" collapsed="false">
      <c r="A74" s="2" t="s">
        <v>370</v>
      </c>
      <c r="B74" s="2" t="s">
        <v>37</v>
      </c>
      <c r="C74" s="2" t="s">
        <v>352</v>
      </c>
      <c r="D74" s="4" t="s">
        <v>371</v>
      </c>
      <c r="E74" s="2" t="s">
        <v>16</v>
      </c>
      <c r="F74" s="2" t="s">
        <v>28</v>
      </c>
      <c r="G74" s="2" t="s">
        <v>372</v>
      </c>
      <c r="H74" s="2"/>
      <c r="I74" s="2" t="s">
        <v>373</v>
      </c>
      <c r="J74" s="2" t="s">
        <v>374</v>
      </c>
      <c r="K74" s="2" t="s">
        <v>42</v>
      </c>
      <c r="L74" s="2"/>
      <c r="M74" s="2"/>
    </row>
    <row r="75" customFormat="false" ht="46.25" hidden="false" customHeight="false" outlineLevel="0" collapsed="false">
      <c r="A75" s="2" t="s">
        <v>375</v>
      </c>
      <c r="B75" s="2" t="s">
        <v>37</v>
      </c>
      <c r="C75" s="2" t="s">
        <v>352</v>
      </c>
      <c r="D75" s="4" t="s">
        <v>376</v>
      </c>
      <c r="E75" s="2" t="s">
        <v>16</v>
      </c>
      <c r="F75" s="2" t="s">
        <v>28</v>
      </c>
      <c r="G75" s="2" t="s">
        <v>377</v>
      </c>
      <c r="H75" s="2"/>
      <c r="I75" s="2" t="s">
        <v>378</v>
      </c>
      <c r="J75" s="2"/>
      <c r="K75" s="2" t="s">
        <v>42</v>
      </c>
      <c r="L75" s="2"/>
      <c r="M75" s="2"/>
    </row>
    <row r="76" customFormat="false" ht="46.25" hidden="false" customHeight="false" outlineLevel="0" collapsed="false">
      <c r="A76" s="2" t="s">
        <v>379</v>
      </c>
      <c r="B76" s="2" t="s">
        <v>37</v>
      </c>
      <c r="C76" s="2" t="s">
        <v>352</v>
      </c>
      <c r="D76" s="4" t="s">
        <v>380</v>
      </c>
      <c r="E76" s="2" t="s">
        <v>16</v>
      </c>
      <c r="F76" s="2" t="s">
        <v>28</v>
      </c>
      <c r="G76" s="2" t="s">
        <v>381</v>
      </c>
      <c r="H76" s="2"/>
      <c r="I76" s="2" t="s">
        <v>382</v>
      </c>
      <c r="J76" s="2"/>
      <c r="K76" s="2" t="s">
        <v>42</v>
      </c>
      <c r="L76" s="2"/>
      <c r="M76" s="2"/>
    </row>
    <row r="77" customFormat="false" ht="46.25" hidden="false" customHeight="false" outlineLevel="0" collapsed="false">
      <c r="A77" s="2" t="s">
        <v>383</v>
      </c>
      <c r="B77" s="2" t="s">
        <v>3</v>
      </c>
      <c r="C77" s="2" t="s">
        <v>352</v>
      </c>
      <c r="D77" s="3" t="s">
        <v>384</v>
      </c>
      <c r="E77" s="2" t="s">
        <v>16</v>
      </c>
      <c r="F77" s="2" t="s">
        <v>28</v>
      </c>
      <c r="G77" s="2" t="s">
        <v>385</v>
      </c>
      <c r="H77" s="2" t="s">
        <v>56</v>
      </c>
      <c r="I77" s="2" t="s">
        <v>386</v>
      </c>
      <c r="J77" s="2" t="s">
        <v>387</v>
      </c>
      <c r="K77" s="2" t="s">
        <v>25</v>
      </c>
      <c r="L77" s="2"/>
      <c r="M77" s="2"/>
    </row>
    <row r="78" customFormat="false" ht="68.65" hidden="false" customHeight="false" outlineLevel="0" collapsed="false">
      <c r="A78" s="2" t="s">
        <v>388</v>
      </c>
      <c r="B78" s="2" t="s">
        <v>3</v>
      </c>
      <c r="C78" s="2" t="s">
        <v>352</v>
      </c>
      <c r="D78" s="3" t="s">
        <v>389</v>
      </c>
      <c r="E78" s="2" t="s">
        <v>16</v>
      </c>
      <c r="F78" s="2" t="s">
        <v>28</v>
      </c>
      <c r="G78" s="2" t="s">
        <v>390</v>
      </c>
      <c r="H78" s="2" t="s">
        <v>56</v>
      </c>
      <c r="I78" s="2" t="s">
        <v>391</v>
      </c>
      <c r="J78" s="2" t="s">
        <v>392</v>
      </c>
      <c r="K78" s="2" t="s">
        <v>42</v>
      </c>
      <c r="L78" s="2"/>
      <c r="M78" s="2"/>
    </row>
    <row r="79" customFormat="false" ht="46.25" hidden="false" customHeight="false" outlineLevel="0" collapsed="false">
      <c r="A79" s="2" t="s">
        <v>393</v>
      </c>
      <c r="B79" s="2" t="s">
        <v>37</v>
      </c>
      <c r="C79" s="2" t="s">
        <v>352</v>
      </c>
      <c r="D79" s="4" t="s">
        <v>394</v>
      </c>
      <c r="E79" s="2" t="s">
        <v>16</v>
      </c>
      <c r="F79" s="2" t="s">
        <v>28</v>
      </c>
      <c r="G79" s="2" t="s">
        <v>395</v>
      </c>
      <c r="H79" s="2"/>
      <c r="I79" s="2" t="s">
        <v>396</v>
      </c>
      <c r="J79" s="2"/>
      <c r="K79" s="2" t="s">
        <v>42</v>
      </c>
      <c r="L79" s="2"/>
      <c r="M79" s="2"/>
    </row>
    <row r="80" customFormat="false" ht="169.4" hidden="false" customHeight="false" outlineLevel="0" collapsed="false">
      <c r="A80" s="2" t="s">
        <v>397</v>
      </c>
      <c r="B80" s="2" t="s">
        <v>3</v>
      </c>
      <c r="C80" s="2" t="s">
        <v>352</v>
      </c>
      <c r="D80" s="3" t="s">
        <v>398</v>
      </c>
      <c r="E80" s="2" t="s">
        <v>16</v>
      </c>
      <c r="F80" s="2" t="s">
        <v>28</v>
      </c>
      <c r="G80" s="2" t="s">
        <v>399</v>
      </c>
      <c r="H80" s="2" t="s">
        <v>400</v>
      </c>
      <c r="I80" s="2" t="s">
        <v>401</v>
      </c>
      <c r="J80" s="2" t="s">
        <v>402</v>
      </c>
      <c r="K80" s="2" t="s">
        <v>119</v>
      </c>
      <c r="L80" s="2"/>
      <c r="M80" s="2"/>
    </row>
    <row r="81" customFormat="false" ht="46.25" hidden="false" customHeight="false" outlineLevel="0" collapsed="false">
      <c r="A81" s="2" t="s">
        <v>146</v>
      </c>
      <c r="B81" s="2" t="s">
        <v>3</v>
      </c>
      <c r="C81" s="2" t="s">
        <v>403</v>
      </c>
      <c r="D81" s="3" t="s">
        <v>404</v>
      </c>
      <c r="E81" s="2" t="s">
        <v>16</v>
      </c>
      <c r="F81" s="2" t="s">
        <v>17</v>
      </c>
      <c r="G81" s="2" t="s">
        <v>405</v>
      </c>
      <c r="H81" s="2"/>
      <c r="I81" s="2" t="s">
        <v>406</v>
      </c>
      <c r="J81" s="2"/>
      <c r="K81" s="2" t="s">
        <v>25</v>
      </c>
      <c r="L81" s="2"/>
      <c r="M81" s="2"/>
    </row>
    <row r="82" customFormat="false" ht="35.05" hidden="false" customHeight="false" outlineLevel="0" collapsed="false">
      <c r="A82" s="2" t="s">
        <v>407</v>
      </c>
      <c r="B82" s="2" t="s">
        <v>37</v>
      </c>
      <c r="C82" s="2" t="s">
        <v>403</v>
      </c>
      <c r="D82" s="4" t="s">
        <v>408</v>
      </c>
      <c r="E82" s="2" t="s">
        <v>16</v>
      </c>
      <c r="F82" s="2" t="s">
        <v>28</v>
      </c>
      <c r="G82" s="2" t="s">
        <v>409</v>
      </c>
      <c r="H82" s="2"/>
      <c r="I82" s="2" t="s">
        <v>410</v>
      </c>
      <c r="J82" s="2"/>
      <c r="K82" s="2" t="s">
        <v>25</v>
      </c>
      <c r="L82" s="2"/>
      <c r="M82" s="2"/>
    </row>
    <row r="83" customFormat="false" ht="46.25" hidden="false" customHeight="false" outlineLevel="0" collapsed="false">
      <c r="A83" s="2" t="s">
        <v>411</v>
      </c>
      <c r="B83" s="2" t="s">
        <v>37</v>
      </c>
      <c r="C83" s="2" t="s">
        <v>403</v>
      </c>
      <c r="D83" s="4" t="s">
        <v>412</v>
      </c>
      <c r="E83" s="2" t="s">
        <v>16</v>
      </c>
      <c r="F83" s="2" t="s">
        <v>28</v>
      </c>
      <c r="G83" s="2" t="s">
        <v>413</v>
      </c>
      <c r="H83" s="2"/>
      <c r="I83" s="2" t="s">
        <v>414</v>
      </c>
      <c r="J83" s="2"/>
      <c r="K83" s="2" t="s">
        <v>42</v>
      </c>
      <c r="L83" s="2"/>
      <c r="M83" s="2"/>
    </row>
    <row r="84" customFormat="false" ht="35.05" hidden="false" customHeight="false" outlineLevel="0" collapsed="false">
      <c r="A84" s="2" t="s">
        <v>415</v>
      </c>
      <c r="B84" s="2" t="s">
        <v>3</v>
      </c>
      <c r="C84" s="2" t="s">
        <v>403</v>
      </c>
      <c r="D84" s="3" t="s">
        <v>416</v>
      </c>
      <c r="E84" s="2" t="s">
        <v>16</v>
      </c>
      <c r="F84" s="2" t="s">
        <v>28</v>
      </c>
      <c r="G84" s="2" t="s">
        <v>417</v>
      </c>
      <c r="H84" s="2" t="s">
        <v>146</v>
      </c>
      <c r="I84" s="2" t="s">
        <v>418</v>
      </c>
      <c r="J84" s="2" t="s">
        <v>243</v>
      </c>
      <c r="K84" s="2" t="s">
        <v>25</v>
      </c>
      <c r="L84" s="2"/>
      <c r="M84" s="2"/>
    </row>
    <row r="85" customFormat="false" ht="124.6" hidden="false" customHeight="false" outlineLevel="0" collapsed="false">
      <c r="A85" s="2" t="s">
        <v>419</v>
      </c>
      <c r="B85" s="2" t="s">
        <v>3</v>
      </c>
      <c r="C85" s="2" t="s">
        <v>403</v>
      </c>
      <c r="D85" s="3" t="s">
        <v>420</v>
      </c>
      <c r="E85" s="2" t="s">
        <v>16</v>
      </c>
      <c r="F85" s="2" t="s">
        <v>28</v>
      </c>
      <c r="G85" s="2" t="s">
        <v>421</v>
      </c>
      <c r="H85" s="2" t="s">
        <v>146</v>
      </c>
      <c r="I85" s="2" t="s">
        <v>422</v>
      </c>
      <c r="J85" s="2" t="s">
        <v>423</v>
      </c>
      <c r="K85" s="2" t="s">
        <v>42</v>
      </c>
      <c r="L85" s="2"/>
      <c r="M85" s="2"/>
    </row>
    <row r="86" customFormat="false" ht="79.85" hidden="false" customHeight="false" outlineLevel="0" collapsed="false">
      <c r="A86" s="2" t="s">
        <v>424</v>
      </c>
      <c r="B86" s="2" t="s">
        <v>3</v>
      </c>
      <c r="C86" s="2" t="s">
        <v>425</v>
      </c>
      <c r="D86" s="3" t="s">
        <v>426</v>
      </c>
      <c r="E86" s="2" t="s">
        <v>16</v>
      </c>
      <c r="F86" s="2" t="s">
        <v>28</v>
      </c>
      <c r="G86" s="2" t="s">
        <v>427</v>
      </c>
      <c r="H86" s="2"/>
      <c r="I86" s="2" t="s">
        <v>428</v>
      </c>
      <c r="J86" s="2" t="s">
        <v>429</v>
      </c>
      <c r="K86" s="2" t="s">
        <v>42</v>
      </c>
      <c r="L86" s="2"/>
      <c r="M86" s="2"/>
    </row>
    <row r="87" customFormat="false" ht="68.65" hidden="false" customHeight="false" outlineLevel="0" collapsed="false">
      <c r="A87" s="2" t="s">
        <v>430</v>
      </c>
      <c r="B87" s="2" t="s">
        <v>3</v>
      </c>
      <c r="C87" s="2" t="s">
        <v>425</v>
      </c>
      <c r="D87" s="3" t="s">
        <v>431</v>
      </c>
      <c r="E87" s="2" t="s">
        <v>16</v>
      </c>
      <c r="F87" s="2" t="s">
        <v>28</v>
      </c>
      <c r="G87" s="2" t="s">
        <v>432</v>
      </c>
      <c r="H87" s="2" t="s">
        <v>424</v>
      </c>
      <c r="I87" s="2" t="s">
        <v>433</v>
      </c>
      <c r="J87" s="2" t="s">
        <v>108</v>
      </c>
      <c r="K87" s="2" t="s">
        <v>42</v>
      </c>
      <c r="L87" s="2"/>
      <c r="M87" s="2"/>
    </row>
    <row r="88" customFormat="false" ht="46.25" hidden="false" customHeight="false" outlineLevel="0" collapsed="false">
      <c r="A88" s="2" t="s">
        <v>434</v>
      </c>
      <c r="B88" s="2" t="s">
        <v>3</v>
      </c>
      <c r="C88" s="2" t="s">
        <v>425</v>
      </c>
      <c r="D88" s="3" t="s">
        <v>435</v>
      </c>
      <c r="E88" s="2" t="s">
        <v>16</v>
      </c>
      <c r="F88" s="2" t="s">
        <v>28</v>
      </c>
      <c r="G88" s="2" t="s">
        <v>436</v>
      </c>
      <c r="H88" s="2" t="s">
        <v>424</v>
      </c>
      <c r="I88" s="2" t="s">
        <v>437</v>
      </c>
      <c r="J88" s="2" t="s">
        <v>176</v>
      </c>
      <c r="K88" s="2" t="s">
        <v>42</v>
      </c>
      <c r="L88" s="2"/>
      <c r="M88" s="2"/>
    </row>
    <row r="89" customFormat="false" ht="68.65" hidden="false" customHeight="false" outlineLevel="0" collapsed="false">
      <c r="A89" s="2" t="s">
        <v>438</v>
      </c>
      <c r="B89" s="2" t="s">
        <v>3</v>
      </c>
      <c r="C89" s="2" t="s">
        <v>425</v>
      </c>
      <c r="D89" s="3" t="s">
        <v>439</v>
      </c>
      <c r="E89" s="2" t="s">
        <v>16</v>
      </c>
      <c r="F89" s="2" t="s">
        <v>28</v>
      </c>
      <c r="G89" s="2" t="s">
        <v>440</v>
      </c>
      <c r="H89" s="2" t="s">
        <v>441</v>
      </c>
      <c r="I89" s="2" t="s">
        <v>442</v>
      </c>
      <c r="J89" s="2"/>
      <c r="K89" s="2" t="s">
        <v>42</v>
      </c>
      <c r="L89" s="2"/>
      <c r="M89" s="2"/>
    </row>
    <row r="90" customFormat="false" ht="23.85" hidden="false" customHeight="false" outlineLevel="0" collapsed="false">
      <c r="A90" s="2" t="s">
        <v>443</v>
      </c>
      <c r="B90" s="2" t="s">
        <v>3</v>
      </c>
      <c r="C90" s="2" t="s">
        <v>425</v>
      </c>
      <c r="D90" s="3" t="s">
        <v>444</v>
      </c>
      <c r="E90" s="2" t="s">
        <v>16</v>
      </c>
      <c r="F90" s="2" t="s">
        <v>28</v>
      </c>
      <c r="G90" s="2" t="s">
        <v>445</v>
      </c>
      <c r="H90" s="2"/>
      <c r="I90" s="2" t="s">
        <v>446</v>
      </c>
      <c r="J90" s="2"/>
      <c r="K90" s="2" t="s">
        <v>25</v>
      </c>
      <c r="L90" s="2"/>
      <c r="M90" s="2"/>
    </row>
    <row r="91" customFormat="false" ht="46.25" hidden="false" customHeight="false" outlineLevel="0" collapsed="false">
      <c r="A91" s="2" t="s">
        <v>447</v>
      </c>
      <c r="B91" s="2" t="s">
        <v>37</v>
      </c>
      <c r="C91" s="2" t="s">
        <v>425</v>
      </c>
      <c r="D91" s="4" t="s">
        <v>448</v>
      </c>
      <c r="E91" s="2" t="s">
        <v>16</v>
      </c>
      <c r="F91" s="2" t="s">
        <v>28</v>
      </c>
      <c r="G91" s="2" t="s">
        <v>449</v>
      </c>
      <c r="H91" s="2"/>
      <c r="I91" s="2" t="s">
        <v>450</v>
      </c>
      <c r="J91" s="2" t="s">
        <v>451</v>
      </c>
      <c r="K91" s="2" t="s">
        <v>42</v>
      </c>
      <c r="L91" s="2"/>
      <c r="M91" s="2"/>
    </row>
    <row r="92" customFormat="false" ht="46.25" hidden="false" customHeight="false" outlineLevel="0" collapsed="false">
      <c r="A92" s="2" t="s">
        <v>452</v>
      </c>
      <c r="B92" s="2" t="s">
        <v>37</v>
      </c>
      <c r="C92" s="2" t="s">
        <v>425</v>
      </c>
      <c r="D92" s="4" t="s">
        <v>453</v>
      </c>
      <c r="E92" s="2" t="s">
        <v>16</v>
      </c>
      <c r="F92" s="2" t="s">
        <v>28</v>
      </c>
      <c r="G92" s="2" t="s">
        <v>454</v>
      </c>
      <c r="H92" s="2"/>
      <c r="I92" s="2" t="s">
        <v>455</v>
      </c>
      <c r="J92" s="2"/>
      <c r="K92" s="2" t="s">
        <v>42</v>
      </c>
      <c r="L92" s="2"/>
      <c r="M92" s="2"/>
    </row>
    <row r="93" customFormat="false" ht="79.85" hidden="false" customHeight="false" outlineLevel="0" collapsed="false">
      <c r="A93" s="2" t="s">
        <v>456</v>
      </c>
      <c r="B93" s="2" t="s">
        <v>3</v>
      </c>
      <c r="C93" s="2" t="s">
        <v>457</v>
      </c>
      <c r="D93" s="3" t="s">
        <v>458</v>
      </c>
      <c r="E93" s="2" t="s">
        <v>16</v>
      </c>
      <c r="F93" s="2" t="s">
        <v>28</v>
      </c>
      <c r="G93" s="2" t="s">
        <v>459</v>
      </c>
      <c r="H93" s="2"/>
      <c r="I93" s="2" t="s">
        <v>460</v>
      </c>
      <c r="J93" s="2" t="s">
        <v>461</v>
      </c>
      <c r="K93" s="2" t="s">
        <v>42</v>
      </c>
      <c r="L93" s="2"/>
      <c r="M93" s="2"/>
    </row>
    <row r="94" customFormat="false" ht="35.05" hidden="false" customHeight="false" outlineLevel="0" collapsed="false">
      <c r="A94" s="2" t="s">
        <v>462</v>
      </c>
      <c r="B94" s="2" t="s">
        <v>37</v>
      </c>
      <c r="C94" s="2" t="s">
        <v>457</v>
      </c>
      <c r="D94" s="4" t="s">
        <v>463</v>
      </c>
      <c r="E94" s="2" t="s">
        <v>16</v>
      </c>
      <c r="F94" s="2" t="s">
        <v>28</v>
      </c>
      <c r="G94" s="2" t="s">
        <v>464</v>
      </c>
      <c r="H94" s="2"/>
      <c r="I94" s="2" t="s">
        <v>465</v>
      </c>
      <c r="J94" s="2"/>
      <c r="K94" s="2" t="s">
        <v>42</v>
      </c>
      <c r="L94" s="2"/>
      <c r="M94" s="2"/>
    </row>
    <row r="95" customFormat="false" ht="57.45" hidden="false" customHeight="false" outlineLevel="0" collapsed="false">
      <c r="A95" s="2" t="s">
        <v>466</v>
      </c>
      <c r="B95" s="2" t="s">
        <v>3</v>
      </c>
      <c r="C95" s="2" t="s">
        <v>457</v>
      </c>
      <c r="D95" s="3" t="s">
        <v>467</v>
      </c>
      <c r="E95" s="2" t="s">
        <v>16</v>
      </c>
      <c r="F95" s="2" t="s">
        <v>28</v>
      </c>
      <c r="G95" s="2" t="s">
        <v>468</v>
      </c>
      <c r="H95" s="2" t="s">
        <v>456</v>
      </c>
      <c r="I95" s="2" t="s">
        <v>469</v>
      </c>
      <c r="J95" s="2" t="s">
        <v>470</v>
      </c>
      <c r="K95" s="2" t="s">
        <v>42</v>
      </c>
      <c r="L95" s="2"/>
      <c r="M95" s="2"/>
    </row>
    <row r="96" customFormat="false" ht="158.2" hidden="false" customHeight="false" outlineLevel="0" collapsed="false">
      <c r="A96" s="2" t="s">
        <v>471</v>
      </c>
      <c r="B96" s="2" t="s">
        <v>3</v>
      </c>
      <c r="C96" s="2" t="s">
        <v>457</v>
      </c>
      <c r="D96" s="3" t="s">
        <v>472</v>
      </c>
      <c r="E96" s="2" t="s">
        <v>16</v>
      </c>
      <c r="F96" s="2" t="s">
        <v>28</v>
      </c>
      <c r="G96" s="2" t="s">
        <v>473</v>
      </c>
      <c r="H96" s="2" t="s">
        <v>456</v>
      </c>
      <c r="I96" s="2" t="s">
        <v>474</v>
      </c>
      <c r="J96" s="2" t="s">
        <v>475</v>
      </c>
      <c r="K96" s="2" t="s">
        <v>42</v>
      </c>
      <c r="L96" s="2"/>
      <c r="M96" s="2"/>
    </row>
    <row r="97" customFormat="false" ht="57.45" hidden="false" customHeight="false" outlineLevel="0" collapsed="false">
      <c r="A97" s="2" t="s">
        <v>476</v>
      </c>
      <c r="B97" s="2" t="s">
        <v>3</v>
      </c>
      <c r="C97" s="2" t="s">
        <v>457</v>
      </c>
      <c r="D97" s="3" t="s">
        <v>477</v>
      </c>
      <c r="E97" s="2" t="s">
        <v>16</v>
      </c>
      <c r="F97" s="2" t="s">
        <v>28</v>
      </c>
      <c r="G97" s="2" t="s">
        <v>478</v>
      </c>
      <c r="H97" s="2" t="s">
        <v>26</v>
      </c>
      <c r="I97" s="2" t="s">
        <v>479</v>
      </c>
      <c r="J97" s="2" t="s">
        <v>480</v>
      </c>
      <c r="K97" s="2" t="s">
        <v>42</v>
      </c>
      <c r="L97" s="2"/>
      <c r="M97" s="2"/>
    </row>
    <row r="98" customFormat="false" ht="35.05" hidden="false" customHeight="false" outlineLevel="0" collapsed="false">
      <c r="A98" s="2" t="s">
        <v>481</v>
      </c>
      <c r="B98" s="2" t="s">
        <v>37</v>
      </c>
      <c r="C98" s="2" t="s">
        <v>457</v>
      </c>
      <c r="D98" s="4" t="s">
        <v>482</v>
      </c>
      <c r="E98" s="2" t="s">
        <v>16</v>
      </c>
      <c r="F98" s="2" t="s">
        <v>28</v>
      </c>
      <c r="G98" s="2" t="s">
        <v>483</v>
      </c>
      <c r="H98" s="2" t="s">
        <v>484</v>
      </c>
      <c r="I98" s="2" t="s">
        <v>485</v>
      </c>
      <c r="J98" s="2"/>
      <c r="K98" s="2" t="s">
        <v>42</v>
      </c>
      <c r="L98" s="2"/>
      <c r="M98" s="2"/>
    </row>
    <row r="99" customFormat="false" ht="46.25" hidden="false" customHeight="false" outlineLevel="0" collapsed="false">
      <c r="A99" s="2" t="s">
        <v>486</v>
      </c>
      <c r="B99" s="2" t="s">
        <v>3</v>
      </c>
      <c r="C99" s="2" t="s">
        <v>457</v>
      </c>
      <c r="D99" s="3" t="s">
        <v>487</v>
      </c>
      <c r="E99" s="2" t="s">
        <v>16</v>
      </c>
      <c r="F99" s="2" t="s">
        <v>28</v>
      </c>
      <c r="G99" s="2" t="s">
        <v>488</v>
      </c>
      <c r="H99" s="2" t="s">
        <v>489</v>
      </c>
      <c r="I99" s="2" t="s">
        <v>490</v>
      </c>
      <c r="J99" s="2"/>
      <c r="K99" s="2" t="s">
        <v>20</v>
      </c>
      <c r="L99" s="2"/>
      <c r="M99" s="2"/>
    </row>
    <row r="100" customFormat="false" ht="46.25" hidden="false" customHeight="false" outlineLevel="0" collapsed="false">
      <c r="A100" s="2" t="s">
        <v>491</v>
      </c>
      <c r="B100" s="2" t="s">
        <v>3</v>
      </c>
      <c r="C100" s="2" t="s">
        <v>492</v>
      </c>
      <c r="D100" s="3" t="s">
        <v>493</v>
      </c>
      <c r="E100" s="2" t="s">
        <v>16</v>
      </c>
      <c r="F100" s="2" t="s">
        <v>17</v>
      </c>
      <c r="G100" s="2" t="s">
        <v>494</v>
      </c>
      <c r="H100" s="2"/>
      <c r="I100" s="2" t="s">
        <v>495</v>
      </c>
      <c r="J100" s="2"/>
      <c r="K100" s="2" t="s">
        <v>20</v>
      </c>
      <c r="L100" s="2"/>
      <c r="M100" s="2"/>
    </row>
    <row r="101" customFormat="false" ht="23.85" hidden="false" customHeight="false" outlineLevel="0" collapsed="false">
      <c r="A101" s="2" t="s">
        <v>496</v>
      </c>
      <c r="B101" s="2" t="s">
        <v>3</v>
      </c>
      <c r="C101" s="2" t="s">
        <v>492</v>
      </c>
      <c r="D101" s="3" t="s">
        <v>497</v>
      </c>
      <c r="E101" s="2" t="s">
        <v>16</v>
      </c>
      <c r="F101" s="2" t="s">
        <v>17</v>
      </c>
      <c r="G101" s="2" t="s">
        <v>498</v>
      </c>
      <c r="H101" s="2" t="s">
        <v>491</v>
      </c>
      <c r="I101" s="2" t="s">
        <v>499</v>
      </c>
      <c r="J101" s="2"/>
      <c r="K101" s="2" t="s">
        <v>20</v>
      </c>
      <c r="L101" s="2"/>
      <c r="M101" s="2"/>
    </row>
    <row r="102" customFormat="false" ht="46.25" hidden="false" customHeight="false" outlineLevel="0" collapsed="false">
      <c r="A102" s="2" t="s">
        <v>500</v>
      </c>
      <c r="B102" s="2" t="s">
        <v>3</v>
      </c>
      <c r="C102" s="2" t="s">
        <v>492</v>
      </c>
      <c r="D102" s="3" t="s">
        <v>501</v>
      </c>
      <c r="E102" s="2" t="s">
        <v>16</v>
      </c>
      <c r="F102" s="2" t="s">
        <v>17</v>
      </c>
      <c r="G102" s="2" t="s">
        <v>502</v>
      </c>
      <c r="H102" s="2" t="s">
        <v>491</v>
      </c>
      <c r="I102" s="2" t="s">
        <v>503</v>
      </c>
      <c r="J102" s="2" t="s">
        <v>504</v>
      </c>
      <c r="K102" s="2" t="s">
        <v>20</v>
      </c>
      <c r="L102" s="2"/>
      <c r="M102" s="2"/>
    </row>
    <row r="103" customFormat="false" ht="57.45" hidden="false" customHeight="false" outlineLevel="0" collapsed="false">
      <c r="A103" s="2" t="s">
        <v>505</v>
      </c>
      <c r="B103" s="2" t="s">
        <v>3</v>
      </c>
      <c r="C103" s="2" t="s">
        <v>492</v>
      </c>
      <c r="D103" s="3" t="s">
        <v>506</v>
      </c>
      <c r="E103" s="2" t="s">
        <v>16</v>
      </c>
      <c r="F103" s="2" t="s">
        <v>17</v>
      </c>
      <c r="G103" s="2" t="s">
        <v>507</v>
      </c>
      <c r="H103" s="2" t="s">
        <v>500</v>
      </c>
      <c r="I103" s="2" t="s">
        <v>508</v>
      </c>
      <c r="J103" s="2"/>
      <c r="K103" s="2" t="s">
        <v>42</v>
      </c>
      <c r="L103" s="2"/>
      <c r="M103" s="2"/>
    </row>
    <row r="104" customFormat="false" ht="23.85" hidden="false" customHeight="false" outlineLevel="0" collapsed="false">
      <c r="A104" s="2" t="s">
        <v>509</v>
      </c>
      <c r="B104" s="2" t="s">
        <v>3</v>
      </c>
      <c r="C104" s="2" t="s">
        <v>492</v>
      </c>
      <c r="D104" s="3" t="s">
        <v>510</v>
      </c>
      <c r="E104" s="2" t="s">
        <v>16</v>
      </c>
      <c r="F104" s="2" t="s">
        <v>17</v>
      </c>
      <c r="G104" s="2" t="s">
        <v>511</v>
      </c>
      <c r="H104" s="2"/>
      <c r="I104" s="2" t="s">
        <v>512</v>
      </c>
      <c r="J104" s="2"/>
      <c r="K104" s="2" t="s">
        <v>25</v>
      </c>
      <c r="L104" s="2"/>
      <c r="M104" s="2"/>
    </row>
    <row r="105" customFormat="false" ht="35.05" hidden="false" customHeight="false" outlineLevel="0" collapsed="false">
      <c r="A105" s="2" t="s">
        <v>513</v>
      </c>
      <c r="B105" s="2" t="s">
        <v>3</v>
      </c>
      <c r="C105" s="2" t="s">
        <v>492</v>
      </c>
      <c r="D105" s="3" t="s">
        <v>514</v>
      </c>
      <c r="E105" s="2" t="s">
        <v>16</v>
      </c>
      <c r="F105" s="2" t="s">
        <v>28</v>
      </c>
      <c r="G105" s="2" t="s">
        <v>515</v>
      </c>
      <c r="H105" s="2" t="s">
        <v>516</v>
      </c>
      <c r="I105" s="2" t="s">
        <v>517</v>
      </c>
      <c r="J105" s="2"/>
      <c r="K105" s="2" t="s">
        <v>42</v>
      </c>
      <c r="L105" s="2"/>
      <c r="M105" s="2"/>
    </row>
    <row r="106" customFormat="false" ht="214.15" hidden="false" customHeight="false" outlineLevel="0" collapsed="false">
      <c r="A106" s="2" t="s">
        <v>518</v>
      </c>
      <c r="B106" s="2" t="s">
        <v>3</v>
      </c>
      <c r="C106" s="2" t="s">
        <v>492</v>
      </c>
      <c r="D106" s="3" t="s">
        <v>519</v>
      </c>
      <c r="E106" s="2" t="s">
        <v>16</v>
      </c>
      <c r="F106" s="2" t="s">
        <v>28</v>
      </c>
      <c r="G106" s="2" t="s">
        <v>520</v>
      </c>
      <c r="H106" s="2" t="s">
        <v>521</v>
      </c>
      <c r="I106" s="2" t="s">
        <v>522</v>
      </c>
      <c r="J106" s="2" t="s">
        <v>523</v>
      </c>
      <c r="K106" s="2" t="s">
        <v>119</v>
      </c>
      <c r="L106" s="2"/>
      <c r="M106" s="2"/>
    </row>
    <row r="107" customFormat="false" ht="23.85" hidden="false" customHeight="false" outlineLevel="0" collapsed="false">
      <c r="A107" s="2" t="s">
        <v>524</v>
      </c>
      <c r="B107" s="2" t="s">
        <v>3</v>
      </c>
      <c r="C107" s="2" t="s">
        <v>525</v>
      </c>
      <c r="D107" s="3" t="s">
        <v>526</v>
      </c>
      <c r="E107" s="2" t="s">
        <v>16</v>
      </c>
      <c r="F107" s="2" t="s">
        <v>28</v>
      </c>
      <c r="G107" s="2" t="s">
        <v>527</v>
      </c>
      <c r="H107" s="2" t="s">
        <v>211</v>
      </c>
      <c r="I107" s="2" t="s">
        <v>166</v>
      </c>
      <c r="J107" s="2"/>
      <c r="K107" s="2" t="s">
        <v>20</v>
      </c>
      <c r="L107" s="2"/>
      <c r="M107" s="2"/>
    </row>
    <row r="108" customFormat="false" ht="23.85" hidden="false" customHeight="false" outlineLevel="0" collapsed="false">
      <c r="A108" s="2" t="s">
        <v>528</v>
      </c>
      <c r="B108" s="2" t="s">
        <v>3</v>
      </c>
      <c r="C108" s="2" t="s">
        <v>525</v>
      </c>
      <c r="D108" s="3" t="s">
        <v>529</v>
      </c>
      <c r="E108" s="2" t="s">
        <v>16</v>
      </c>
      <c r="F108" s="2" t="s">
        <v>17</v>
      </c>
      <c r="G108" s="2" t="s">
        <v>530</v>
      </c>
      <c r="H108" s="2" t="s">
        <v>202</v>
      </c>
      <c r="I108" s="2" t="s">
        <v>531</v>
      </c>
      <c r="J108" s="2"/>
      <c r="K108" s="2" t="s">
        <v>20</v>
      </c>
      <c r="L108" s="2"/>
      <c r="M108" s="2"/>
    </row>
    <row r="109" customFormat="false" ht="79.85" hidden="false" customHeight="false" outlineLevel="0" collapsed="false">
      <c r="A109" s="2" t="s">
        <v>532</v>
      </c>
      <c r="B109" s="2" t="s">
        <v>37</v>
      </c>
      <c r="C109" s="2" t="s">
        <v>525</v>
      </c>
      <c r="D109" s="4" t="s">
        <v>533</v>
      </c>
      <c r="E109" s="2" t="s">
        <v>16</v>
      </c>
      <c r="F109" s="2" t="s">
        <v>28</v>
      </c>
      <c r="G109" s="2" t="s">
        <v>534</v>
      </c>
      <c r="H109" s="2"/>
      <c r="I109" s="2" t="s">
        <v>535</v>
      </c>
      <c r="J109" s="2" t="s">
        <v>536</v>
      </c>
      <c r="K109" s="2" t="s">
        <v>42</v>
      </c>
      <c r="L109" s="2"/>
      <c r="M109" s="2"/>
    </row>
    <row r="110" customFormat="false" ht="35.05" hidden="false" customHeight="false" outlineLevel="0" collapsed="false">
      <c r="A110" s="2" t="s">
        <v>537</v>
      </c>
      <c r="B110" s="2" t="s">
        <v>3</v>
      </c>
      <c r="C110" s="2" t="s">
        <v>525</v>
      </c>
      <c r="D110" s="3" t="s">
        <v>538</v>
      </c>
      <c r="E110" s="2" t="s">
        <v>16</v>
      </c>
      <c r="F110" s="2" t="s">
        <v>28</v>
      </c>
      <c r="G110" s="2" t="s">
        <v>539</v>
      </c>
      <c r="H110" s="2" t="s">
        <v>540</v>
      </c>
      <c r="I110" s="2" t="s">
        <v>541</v>
      </c>
      <c r="J110" s="2" t="s">
        <v>542</v>
      </c>
      <c r="K110" s="2" t="s">
        <v>25</v>
      </c>
      <c r="L110" s="2"/>
      <c r="M110" s="2"/>
    </row>
    <row r="111" customFormat="false" ht="68.65" hidden="false" customHeight="false" outlineLevel="0" collapsed="false">
      <c r="A111" s="2" t="s">
        <v>543</v>
      </c>
      <c r="B111" s="2" t="s">
        <v>3</v>
      </c>
      <c r="C111" s="2" t="s">
        <v>525</v>
      </c>
      <c r="D111" s="3" t="s">
        <v>544</v>
      </c>
      <c r="E111" s="2" t="s">
        <v>16</v>
      </c>
      <c r="F111" s="2" t="s">
        <v>28</v>
      </c>
      <c r="G111" s="2" t="s">
        <v>545</v>
      </c>
      <c r="H111" s="2" t="s">
        <v>546</v>
      </c>
      <c r="I111" s="2" t="s">
        <v>547</v>
      </c>
      <c r="J111" s="2" t="s">
        <v>548</v>
      </c>
      <c r="K111" s="2" t="s">
        <v>42</v>
      </c>
      <c r="L111" s="2"/>
      <c r="M111" s="2"/>
    </row>
  </sheetData>
  <autoFilter ref="A1:M111"/>
  <conditionalFormatting sqref="E2:E1000">
    <cfRule type="expression" priority="2" aboveAverage="0" equalAverage="0" bottom="0" percent="0" rank="0" text="" dxfId="5">
      <formula>$E2="Otwarte"</formula>
    </cfRule>
    <cfRule type="expression" priority="3" aboveAverage="0" equalAverage="0" bottom="0" percent="0" rank="0" text="" dxfId="6">
      <formula>$E2="W toku"</formula>
    </cfRule>
    <cfRule type="expression" priority="4" aboveAverage="0" equalAverage="0" bottom="0" percent="0" rank="0" text="" dxfId="7">
      <formula>$E2="Odpowiedziane"</formula>
    </cfRule>
    <cfRule type="expression" priority="5" aboveAverage="0" equalAverage="0" bottom="0" percent="0" rank="0" text="" dxfId="8">
      <formula>$E2="Odłożone"</formula>
    </cfRule>
  </conditionalFormatting>
  <conditionalFormatting sqref="F2:F1000">
    <cfRule type="expression" priority="6" aboveAverage="0" equalAverage="0" bottom="0" percent="0" rank="0" text="" dxfId="9">
      <formula>$F2="tak"</formula>
    </cfRule>
  </conditionalFormatting>
  <dataValidations count="5">
    <dataValidation allowBlank="true" errorStyle="stop" operator="between" showDropDown="false" showErrorMessage="false" showInputMessage="false" sqref="E2:E1000" type="list">
      <formula1>"Otwarte,W toku,Odpowiedziane,Odłożone"</formula1>
      <formula2>0</formula2>
    </dataValidation>
    <dataValidation allowBlank="true" errorStyle="stop" operator="between" showDropDown="false" showErrorMessage="false" showInputMessage="false" sqref="B2:B1000" type="list">
      <formula1>"Pytanie,Podpytanie"</formula1>
      <formula2>0</formula2>
    </dataValidation>
    <dataValidation allowBlank="true" errorStyle="stop" operator="between" showDropDown="false" showErrorMessage="false" showInputMessage="false" sqref="F2:F1000" type="list">
      <formula1>"tak,nie"</formula1>
      <formula2>0</formula2>
    </dataValidation>
    <dataValidation allowBlank="true" errorStyle="stop" operator="between" showDropDown="false" showErrorMessage="false" showInputMessage="false" sqref="K2:K1000" type="list">
      <formula1>"Analiza własna,Baza wiedzy repo,Dokumentacja Anthropic,Społeczność,Moje"</formula1>
      <formula2>0</formula2>
    </dataValidation>
    <dataValidation allowBlank="true" errorStyle="stop" operator="between" showDropDown="false" showErrorMessage="false" showInputMessage="false" sqref="C2:C1000" type="list">
      <formula1>Gałęzie!$D$2:$D$100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5" t="s">
        <v>549</v>
      </c>
    </row>
    <row r="2" customFormat="false" ht="15" hidden="false" customHeight="false" outlineLevel="0" collapsed="false">
      <c r="A2" s="6" t="s">
        <v>550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7" t="s">
        <v>551</v>
      </c>
    </row>
    <row r="5" customFormat="false" ht="23.85" hidden="false" customHeight="false" outlineLevel="0" collapsed="false">
      <c r="A5" s="6" t="s">
        <v>552</v>
      </c>
    </row>
    <row r="6" customFormat="false" ht="15" hidden="false" customHeight="false" outlineLevel="0" collapsed="false">
      <c r="A6" s="6" t="s">
        <v>553</v>
      </c>
    </row>
    <row r="7" customFormat="false" ht="15" hidden="false" customHeight="false" outlineLevel="0" collapsed="false">
      <c r="A7" s="6" t="s">
        <v>554</v>
      </c>
    </row>
    <row r="8" customFormat="false" ht="15" hidden="false" customHeight="false" outlineLevel="0" collapsed="false">
      <c r="A8" s="6" t="s">
        <v>555</v>
      </c>
    </row>
    <row r="9" customFormat="false" ht="15" hidden="false" customHeight="false" outlineLevel="0" collapsed="false">
      <c r="A9" s="6" t="s">
        <v>556</v>
      </c>
    </row>
    <row r="10" customFormat="false" ht="15" hidden="false" customHeight="false" outlineLevel="0" collapsed="false">
      <c r="A10" s="6" t="s">
        <v>557</v>
      </c>
    </row>
    <row r="11" customFormat="false" ht="15" hidden="false" customHeight="false" outlineLevel="0" collapsed="false">
      <c r="A11" s="6" t="s">
        <v>558</v>
      </c>
    </row>
    <row r="12" customFormat="false" ht="15" hidden="false" customHeight="false" outlineLevel="0" collapsed="false">
      <c r="A12" s="6" t="s">
        <v>559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7" t="s">
        <v>560</v>
      </c>
    </row>
    <row r="15" customFormat="false" ht="15" hidden="false" customHeight="false" outlineLevel="0" collapsed="false">
      <c r="A15" s="6" t="s">
        <v>561</v>
      </c>
    </row>
    <row r="16" customFormat="false" ht="23.85" hidden="false" customHeight="false" outlineLevel="0" collapsed="false">
      <c r="A16" s="6" t="s">
        <v>562</v>
      </c>
    </row>
    <row r="17" customFormat="false" ht="23.85" hidden="false" customHeight="false" outlineLevel="0" collapsed="false">
      <c r="A17" s="6" t="s">
        <v>563</v>
      </c>
    </row>
    <row r="18" customFormat="false" ht="15" hidden="false" customHeight="false" outlineLevel="0" collapsed="false">
      <c r="A18" s="6" t="s">
        <v>564</v>
      </c>
    </row>
    <row r="19" customFormat="false" ht="15" hidden="false" customHeight="false" outlineLevel="0" collapsed="false">
      <c r="A19" s="6" t="s">
        <v>565</v>
      </c>
    </row>
    <row r="20" customFormat="false" ht="15" hidden="false" customHeight="false" outlineLevel="0" collapsed="false">
      <c r="A20" s="6"/>
    </row>
    <row r="21" customFormat="false" ht="23.85" hidden="false" customHeight="false" outlineLevel="0" collapsed="false">
      <c r="A21" s="6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9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8" t="s">
        <v>567</v>
      </c>
      <c r="B1" s="8" t="s">
        <v>568</v>
      </c>
      <c r="C1" s="8" t="s">
        <v>569</v>
      </c>
      <c r="D1" s="8" t="s">
        <v>570</v>
      </c>
    </row>
    <row r="2" customFormat="false" ht="23.85" hidden="false" customHeight="false" outlineLevel="0" collapsed="false">
      <c r="A2" s="6" t="s">
        <v>571</v>
      </c>
      <c r="B2" s="6" t="s">
        <v>572</v>
      </c>
      <c r="C2" s="6" t="s">
        <v>573</v>
      </c>
      <c r="D2" s="6" t="str">
        <f aca="false">A2&amp;" · "&amp;B2</f>
        <v>A · Cel i miara sukcesu</v>
      </c>
    </row>
    <row r="3" customFormat="false" ht="35.05" hidden="false" customHeight="false" outlineLevel="0" collapsed="false">
      <c r="A3" s="6" t="s">
        <v>574</v>
      </c>
      <c r="B3" s="6" t="s">
        <v>575</v>
      </c>
      <c r="C3" s="6" t="s">
        <v>576</v>
      </c>
      <c r="D3" s="6" t="str">
        <f aca="false">A3&amp;" · "&amp;B3</f>
        <v>B · Posłuszeństwo wobec instrukcji</v>
      </c>
    </row>
    <row r="4" customFormat="false" ht="15" hidden="false" customHeight="false" outlineLevel="0" collapsed="false">
      <c r="A4" s="6" t="s">
        <v>577</v>
      </c>
      <c r="B4" s="6" t="s">
        <v>578</v>
      </c>
      <c r="C4" s="6" t="s">
        <v>579</v>
      </c>
      <c r="D4" s="6" t="str">
        <f aca="false">A4&amp;" · "&amp;B4</f>
        <v>C · Źródła zamiast pamięci</v>
      </c>
    </row>
    <row r="5" customFormat="false" ht="15" hidden="false" customHeight="false" outlineLevel="0" collapsed="false">
      <c r="A5" s="6" t="s">
        <v>580</v>
      </c>
      <c r="B5" s="6" t="s">
        <v>581</v>
      </c>
      <c r="C5" s="6" t="s">
        <v>582</v>
      </c>
      <c r="D5" s="6" t="str">
        <f aca="false">A5&amp;" · "&amp;B5</f>
        <v>D · Dowody i weryfikacja pracy</v>
      </c>
    </row>
    <row r="6" customFormat="false" ht="15" hidden="false" customHeight="false" outlineLevel="0" collapsed="false">
      <c r="A6" s="6" t="s">
        <v>583</v>
      </c>
      <c r="B6" s="6" t="s">
        <v>584</v>
      </c>
      <c r="C6" s="6" t="s">
        <v>585</v>
      </c>
      <c r="D6" s="6" t="str">
        <f aca="false">A6&amp;" · "&amp;B6</f>
        <v>E · Audyty i przeglądy</v>
      </c>
    </row>
    <row r="7" customFormat="false" ht="23.85" hidden="false" customHeight="false" outlineLevel="0" collapsed="false">
      <c r="A7" s="6" t="s">
        <v>586</v>
      </c>
      <c r="B7" s="6" t="s">
        <v>587</v>
      </c>
      <c r="C7" s="6" t="s">
        <v>588</v>
      </c>
      <c r="D7" s="6" t="str">
        <f aca="false">A7&amp;" · "&amp;B7</f>
        <v>F · Ciągłość pracy między sesjami</v>
      </c>
    </row>
    <row r="8" customFormat="false" ht="15" hidden="false" customHeight="false" outlineLevel="0" collapsed="false">
      <c r="A8" s="6" t="s">
        <v>589</v>
      </c>
      <c r="B8" s="6" t="s">
        <v>590</v>
      </c>
      <c r="C8" s="6" t="s">
        <v>591</v>
      </c>
      <c r="D8" s="6" t="str">
        <f aca="false">A8&amp;" · "&amp;B8</f>
        <v>G · Wiedza i dokumentacja</v>
      </c>
    </row>
    <row r="9" customFormat="false" ht="23.85" hidden="false" customHeight="false" outlineLevel="0" collapsed="false">
      <c r="A9" s="6" t="s">
        <v>592</v>
      </c>
      <c r="B9" s="6" t="s">
        <v>593</v>
      </c>
      <c r="C9" s="6" t="s">
        <v>594</v>
      </c>
      <c r="D9" s="6" t="str">
        <f aca="false">A9&amp;" · "&amp;B9</f>
        <v>H · Agenci i podział pracy</v>
      </c>
    </row>
    <row r="10" customFormat="false" ht="23.85" hidden="false" customHeight="false" outlineLevel="0" collapsed="false">
      <c r="A10" s="6" t="s">
        <v>595</v>
      </c>
      <c r="B10" s="6" t="s">
        <v>596</v>
      </c>
      <c r="C10" s="6" t="s">
        <v>597</v>
      </c>
      <c r="D10" s="6" t="str">
        <f aca="false">A10&amp;" · "&amp;B10</f>
        <v>I · Granice, uprawnienia i bezpieczeństwo</v>
      </c>
    </row>
    <row r="11" customFormat="false" ht="15" hidden="false" customHeight="false" outlineLevel="0" collapsed="false">
      <c r="A11" s="6" t="s">
        <v>598</v>
      </c>
      <c r="B11" s="6" t="s">
        <v>599</v>
      </c>
      <c r="C11" s="6" t="s">
        <v>600</v>
      </c>
      <c r="D11" s="6" t="str">
        <f aca="false">A11&amp;" · "&amp;B11</f>
        <v>J · Środowisko w chmurze</v>
      </c>
    </row>
    <row r="12" customFormat="false" ht="15" hidden="false" customHeight="false" outlineLevel="0" collapsed="false">
      <c r="A12" s="6" t="s">
        <v>601</v>
      </c>
      <c r="B12" s="6" t="s">
        <v>602</v>
      </c>
      <c r="C12" s="6" t="s">
        <v>603</v>
      </c>
      <c r="D12" s="6" t="str">
        <f aca="false">A12&amp;" · "&amp;B12</f>
        <v>K · Zmiany w czasie</v>
      </c>
    </row>
    <row r="13" customFormat="false" ht="15" hidden="false" customHeight="false" outlineLevel="0" collapsed="false">
      <c r="A13" s="6" t="s">
        <v>604</v>
      </c>
      <c r="B13" s="6" t="s">
        <v>605</v>
      </c>
      <c r="C13" s="6" t="s">
        <v>606</v>
      </c>
      <c r="D13" s="6" t="str">
        <f aca="false">A13&amp;" · "&amp;B13</f>
        <v>L · Koszt, limity i skala</v>
      </c>
    </row>
    <row r="14" customFormat="false" ht="15" hidden="false" customHeight="false" outlineLevel="0" collapsed="false">
      <c r="A14" s="6" t="s">
        <v>607</v>
      </c>
      <c r="B14" s="6" t="s">
        <v>608</v>
      </c>
      <c r="C14" s="6" t="s">
        <v>609</v>
      </c>
      <c r="D14" s="6" t="str">
        <f aca="false">A14&amp;" · "&amp;B14</f>
        <v>M · Przegląd i kontrola nad całością</v>
      </c>
    </row>
    <row r="15" customFormat="false" ht="15" hidden="false" customHeight="false" outlineLevel="0" collapsed="false">
      <c r="A15" s="6" t="s">
        <v>610</v>
      </c>
      <c r="B15" s="6" t="s">
        <v>611</v>
      </c>
      <c r="C15" s="6" t="s">
        <v>612</v>
      </c>
      <c r="D15" s="6" t="str">
        <f aca="false">A15&amp;" · "&amp;B15</f>
        <v>N · Moja rola i doskonalenie systemu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8" t="s">
        <v>2</v>
      </c>
      <c r="B1" s="8" t="s">
        <v>613</v>
      </c>
      <c r="C1" s="8" t="s">
        <v>614</v>
      </c>
      <c r="D1" s="8" t="s">
        <v>16</v>
      </c>
      <c r="E1" s="8" t="s">
        <v>615</v>
      </c>
      <c r="F1" s="8" t="s">
        <v>616</v>
      </c>
      <c r="G1" s="8" t="s">
        <v>617</v>
      </c>
      <c r="H1" s="8" t="s">
        <v>618</v>
      </c>
    </row>
    <row r="2" customFormat="false" ht="15" hidden="false" customHeight="false" outlineLevel="0" collapsed="false">
      <c r="A2" s="9" t="str">
        <f aca="false">Gałęzie!D2</f>
        <v>A · Cel i miara sukcesu</v>
      </c>
      <c r="B2" s="9" t="n">
        <f aca="false">COUNTIFS(Pytania!$C$2:$C$1000,A2,Pytania!$B$2:$B$1000,"Pytanie")</f>
        <v>5</v>
      </c>
      <c r="C2" s="9" t="n">
        <f aca="false">COUNTIFS(Pytania!$C$2:$C$1000,A2,Pytania!$B$2:$B$1000,"Podpytanie")</f>
        <v>1</v>
      </c>
      <c r="D2" s="9" t="n">
        <f aca="false">COUNTIFS(Pytania!$C$2:$C$1000,$A2,Pytania!$E$2:$E$1000,"Otwarte")</f>
        <v>6</v>
      </c>
      <c r="E2" s="9" t="n">
        <f aca="false">COUNTIFS(Pytania!$C$2:$C$1000,$A2,Pytania!$E$2:$E$1000,"W toku")</f>
        <v>0</v>
      </c>
      <c r="F2" s="9" t="n">
        <f aca="false">COUNTIFS(Pytania!$C$2:$C$1000,$A2,Pytania!$E$2:$E$1000,"Odpowiedziane")</f>
        <v>0</v>
      </c>
      <c r="G2" s="9" t="n">
        <f aca="false">COUNTIFS(Pytania!$C$2:$C$1000,$A2,Pytania!$E$2:$E$1000,"Odłożone")</f>
        <v>0</v>
      </c>
      <c r="H2" s="10" t="n">
        <f aca="false">IF(B2+C2=0,0,F2/(B2+C2))</f>
        <v>0</v>
      </c>
    </row>
    <row r="3" customFormat="false" ht="15" hidden="false" customHeight="false" outlineLevel="0" collapsed="false">
      <c r="A3" s="9" t="str">
        <f aca="false">Gałęzie!D3</f>
        <v>B · Posłuszeństwo wobec instrukcji</v>
      </c>
      <c r="B3" s="9" t="n">
        <f aca="false">COUNTIFS(Pytania!$C$2:$C$1000,A3,Pytania!$B$2:$B$1000,"Pytanie")</f>
        <v>7</v>
      </c>
      <c r="C3" s="9" t="n">
        <f aca="false">COUNTIFS(Pytania!$C$2:$C$1000,A3,Pytania!$B$2:$B$1000,"Podpytanie")</f>
        <v>7</v>
      </c>
      <c r="D3" s="9" t="n">
        <f aca="false">COUNTIFS(Pytania!$C$2:$C$1000,$A3,Pytania!$E$2:$E$1000,"Otwarte")</f>
        <v>14</v>
      </c>
      <c r="E3" s="9" t="n">
        <f aca="false">COUNTIFS(Pytania!$C$2:$C$1000,$A3,Pytania!$E$2:$E$1000,"W toku")</f>
        <v>0</v>
      </c>
      <c r="F3" s="9" t="n">
        <f aca="false">COUNTIFS(Pytania!$C$2:$C$1000,$A3,Pytania!$E$2:$E$1000,"Odpowiedziane")</f>
        <v>0</v>
      </c>
      <c r="G3" s="9" t="n">
        <f aca="false">COUNTIFS(Pytania!$C$2:$C$1000,$A3,Pytania!$E$2:$E$1000,"Odłożone")</f>
        <v>0</v>
      </c>
      <c r="H3" s="10" t="n">
        <f aca="false">IF(B3+C3=0,0,F3/(B3+C3))</f>
        <v>0</v>
      </c>
    </row>
    <row r="4" customFormat="false" ht="15" hidden="false" customHeight="false" outlineLevel="0" collapsed="false">
      <c r="A4" s="9" t="str">
        <f aca="false">Gałęzie!D4</f>
        <v>C · Źródła zamiast pamięci</v>
      </c>
      <c r="B4" s="9" t="n">
        <f aca="false">COUNTIFS(Pytania!$C$2:$C$1000,A4,Pytania!$B$2:$B$1000,"Pytanie")</f>
        <v>5</v>
      </c>
      <c r="C4" s="9" t="n">
        <f aca="false">COUNTIFS(Pytania!$C$2:$C$1000,A4,Pytania!$B$2:$B$1000,"Podpytanie")</f>
        <v>3</v>
      </c>
      <c r="D4" s="9" t="n">
        <f aca="false">COUNTIFS(Pytania!$C$2:$C$1000,$A4,Pytania!$E$2:$E$1000,"Otwarte")</f>
        <v>8</v>
      </c>
      <c r="E4" s="9" t="n">
        <f aca="false">COUNTIFS(Pytania!$C$2:$C$1000,$A4,Pytania!$E$2:$E$1000,"W toku")</f>
        <v>0</v>
      </c>
      <c r="F4" s="9" t="n">
        <f aca="false">COUNTIFS(Pytania!$C$2:$C$1000,$A4,Pytania!$E$2:$E$1000,"Odpowiedziane")</f>
        <v>0</v>
      </c>
      <c r="G4" s="9" t="n">
        <f aca="false">COUNTIFS(Pytania!$C$2:$C$1000,$A4,Pytania!$E$2:$E$1000,"Odłożone")</f>
        <v>0</v>
      </c>
      <c r="H4" s="10" t="n">
        <f aca="false">IF(B4+C4=0,0,F4/(B4+C4))</f>
        <v>0</v>
      </c>
    </row>
    <row r="5" customFormat="false" ht="15" hidden="false" customHeight="false" outlineLevel="0" collapsed="false">
      <c r="A5" s="9" t="str">
        <f aca="false">Gałęzie!D5</f>
        <v>D · Dowody i weryfikacja pracy</v>
      </c>
      <c r="B5" s="9" t="n">
        <f aca="false">COUNTIFS(Pytania!$C$2:$C$1000,A5,Pytania!$B$2:$B$1000,"Pytanie")</f>
        <v>5</v>
      </c>
      <c r="C5" s="9" t="n">
        <f aca="false">COUNTIFS(Pytania!$C$2:$C$1000,A5,Pytania!$B$2:$B$1000,"Podpytanie")</f>
        <v>3</v>
      </c>
      <c r="D5" s="9" t="n">
        <f aca="false">COUNTIFS(Pytania!$C$2:$C$1000,$A5,Pytania!$E$2:$E$1000,"Otwarte")</f>
        <v>8</v>
      </c>
      <c r="E5" s="9" t="n">
        <f aca="false">COUNTIFS(Pytania!$C$2:$C$1000,$A5,Pytania!$E$2:$E$1000,"W toku")</f>
        <v>0</v>
      </c>
      <c r="F5" s="9" t="n">
        <f aca="false">COUNTIFS(Pytania!$C$2:$C$1000,$A5,Pytania!$E$2:$E$1000,"Odpowiedziane")</f>
        <v>0</v>
      </c>
      <c r="G5" s="9" t="n">
        <f aca="false">COUNTIFS(Pytania!$C$2:$C$1000,$A5,Pytania!$E$2:$E$1000,"Odłożone")</f>
        <v>0</v>
      </c>
      <c r="H5" s="10" t="n">
        <f aca="false">IF(B5+C5=0,0,F5/(B5+C5))</f>
        <v>0</v>
      </c>
    </row>
    <row r="6" customFormat="false" ht="15" hidden="false" customHeight="false" outlineLevel="0" collapsed="false">
      <c r="A6" s="9" t="str">
        <f aca="false">Gałęzie!D6</f>
        <v>E · Audyty i przeglądy</v>
      </c>
      <c r="B6" s="9" t="n">
        <f aca="false">COUNTIFS(Pytania!$C$2:$C$1000,A6,Pytania!$B$2:$B$1000,"Pytanie")</f>
        <v>7</v>
      </c>
      <c r="C6" s="9" t="n">
        <f aca="false">COUNTIFS(Pytania!$C$2:$C$1000,A6,Pytania!$B$2:$B$1000,"Podpytanie")</f>
        <v>1</v>
      </c>
      <c r="D6" s="9" t="n">
        <f aca="false">COUNTIFS(Pytania!$C$2:$C$1000,$A6,Pytania!$E$2:$E$1000,"Otwarte")</f>
        <v>8</v>
      </c>
      <c r="E6" s="9" t="n">
        <f aca="false">COUNTIFS(Pytania!$C$2:$C$1000,$A6,Pytania!$E$2:$E$1000,"W toku")</f>
        <v>0</v>
      </c>
      <c r="F6" s="9" t="n">
        <f aca="false">COUNTIFS(Pytania!$C$2:$C$1000,$A6,Pytania!$E$2:$E$1000,"Odpowiedziane")</f>
        <v>0</v>
      </c>
      <c r="G6" s="9" t="n">
        <f aca="false">COUNTIFS(Pytania!$C$2:$C$1000,$A6,Pytania!$E$2:$E$1000,"Odłożone")</f>
        <v>0</v>
      </c>
      <c r="H6" s="10" t="n">
        <f aca="false">IF(B6+C6=0,0,F6/(B6+C6))</f>
        <v>0</v>
      </c>
    </row>
    <row r="7" customFormat="false" ht="15" hidden="false" customHeight="false" outlineLevel="0" collapsed="false">
      <c r="A7" s="9" t="str">
        <f aca="false">Gałęzie!D7</f>
        <v>F · Ciągłość pracy między sesjami</v>
      </c>
      <c r="B7" s="9" t="n">
        <f aca="false">COUNTIFS(Pytania!$C$2:$C$1000,A7,Pytania!$B$2:$B$1000,"Pytanie")</f>
        <v>8</v>
      </c>
      <c r="C7" s="9" t="n">
        <f aca="false">COUNTIFS(Pytania!$C$2:$C$1000,A7,Pytania!$B$2:$B$1000,"Podpytanie")</f>
        <v>2</v>
      </c>
      <c r="D7" s="9" t="n">
        <f aca="false">COUNTIFS(Pytania!$C$2:$C$1000,$A7,Pytania!$E$2:$E$1000,"Otwarte")</f>
        <v>10</v>
      </c>
      <c r="E7" s="9" t="n">
        <f aca="false">COUNTIFS(Pytania!$C$2:$C$1000,$A7,Pytania!$E$2:$E$1000,"W toku")</f>
        <v>0</v>
      </c>
      <c r="F7" s="9" t="n">
        <f aca="false">COUNTIFS(Pytania!$C$2:$C$1000,$A7,Pytania!$E$2:$E$1000,"Odpowiedziane")</f>
        <v>0</v>
      </c>
      <c r="G7" s="9" t="n">
        <f aca="false">COUNTIFS(Pytania!$C$2:$C$1000,$A7,Pytania!$E$2:$E$1000,"Odłożone")</f>
        <v>0</v>
      </c>
      <c r="H7" s="10" t="n">
        <f aca="false">IF(B7+C7=0,0,F7/(B7+C7))</f>
        <v>0</v>
      </c>
    </row>
    <row r="8" customFormat="false" ht="15" hidden="false" customHeight="false" outlineLevel="0" collapsed="false">
      <c r="A8" s="9" t="str">
        <f aca="false">Gałęzie!D8</f>
        <v>G · Wiedza i dokumentacja</v>
      </c>
      <c r="B8" s="9" t="n">
        <f aca="false">COUNTIFS(Pytania!$C$2:$C$1000,A8,Pytania!$B$2:$B$1000,"Pytanie")</f>
        <v>6</v>
      </c>
      <c r="C8" s="9" t="n">
        <f aca="false">COUNTIFS(Pytania!$C$2:$C$1000,A8,Pytania!$B$2:$B$1000,"Podpytanie")</f>
        <v>3</v>
      </c>
      <c r="D8" s="9" t="n">
        <f aca="false">COUNTIFS(Pytania!$C$2:$C$1000,$A8,Pytania!$E$2:$E$1000,"Otwarte")</f>
        <v>9</v>
      </c>
      <c r="E8" s="9" t="n">
        <f aca="false">COUNTIFS(Pytania!$C$2:$C$1000,$A8,Pytania!$E$2:$E$1000,"W toku")</f>
        <v>0</v>
      </c>
      <c r="F8" s="9" t="n">
        <f aca="false">COUNTIFS(Pytania!$C$2:$C$1000,$A8,Pytania!$E$2:$E$1000,"Odpowiedziane")</f>
        <v>0</v>
      </c>
      <c r="G8" s="9" t="n">
        <f aca="false">COUNTIFS(Pytania!$C$2:$C$1000,$A8,Pytania!$E$2:$E$1000,"Odłożone")</f>
        <v>0</v>
      </c>
      <c r="H8" s="10" t="n">
        <f aca="false">IF(B8+C8=0,0,F8/(B8+C8))</f>
        <v>0</v>
      </c>
    </row>
    <row r="9" customFormat="false" ht="15" hidden="false" customHeight="false" outlineLevel="0" collapsed="false">
      <c r="A9" s="9" t="str">
        <f aca="false">Gałęzie!D9</f>
        <v>H · Agenci i podział pracy</v>
      </c>
      <c r="B9" s="9" t="n">
        <f aca="false">COUNTIFS(Pytania!$C$2:$C$1000,A9,Pytania!$B$2:$B$1000,"Pytanie")</f>
        <v>5</v>
      </c>
      <c r="C9" s="9" t="n">
        <f aca="false">COUNTIFS(Pytania!$C$2:$C$1000,A9,Pytania!$B$2:$B$1000,"Podpytanie")</f>
        <v>0</v>
      </c>
      <c r="D9" s="9" t="n">
        <f aca="false">COUNTIFS(Pytania!$C$2:$C$1000,$A9,Pytania!$E$2:$E$1000,"Otwarte")</f>
        <v>5</v>
      </c>
      <c r="E9" s="9" t="n">
        <f aca="false">COUNTIFS(Pytania!$C$2:$C$1000,$A9,Pytania!$E$2:$E$1000,"W toku")</f>
        <v>0</v>
      </c>
      <c r="F9" s="9" t="n">
        <f aca="false">COUNTIFS(Pytania!$C$2:$C$1000,$A9,Pytania!$E$2:$E$1000,"Odpowiedziane")</f>
        <v>0</v>
      </c>
      <c r="G9" s="9" t="n">
        <f aca="false">COUNTIFS(Pytania!$C$2:$C$1000,$A9,Pytania!$E$2:$E$1000,"Odłożone")</f>
        <v>0</v>
      </c>
      <c r="H9" s="10" t="n">
        <f aca="false">IF(B9+C9=0,0,F9/(B9+C9))</f>
        <v>0</v>
      </c>
    </row>
    <row r="10" customFormat="false" ht="15" hidden="false" customHeight="false" outlineLevel="0" collapsed="false">
      <c r="A10" s="9" t="str">
        <f aca="false">Gałęzie!D10</f>
        <v>I · Granice, uprawnienia i bezpieczeństwo</v>
      </c>
      <c r="B10" s="9" t="n">
        <f aca="false">COUNTIFS(Pytania!$C$2:$C$1000,A10,Pytania!$B$2:$B$1000,"Pytanie")</f>
        <v>7</v>
      </c>
      <c r="C10" s="9" t="n">
        <f aca="false">COUNTIFS(Pytania!$C$2:$C$1000,A10,Pytania!$B$2:$B$1000,"Podpytanie")</f>
        <v>4</v>
      </c>
      <c r="D10" s="9" t="n">
        <f aca="false">COUNTIFS(Pytania!$C$2:$C$1000,$A10,Pytania!$E$2:$E$1000,"Otwarte")</f>
        <v>11</v>
      </c>
      <c r="E10" s="9" t="n">
        <f aca="false">COUNTIFS(Pytania!$C$2:$C$1000,$A10,Pytania!$E$2:$E$1000,"W toku")</f>
        <v>0</v>
      </c>
      <c r="F10" s="9" t="n">
        <f aca="false">COUNTIFS(Pytania!$C$2:$C$1000,$A10,Pytania!$E$2:$E$1000,"Odpowiedziane")</f>
        <v>0</v>
      </c>
      <c r="G10" s="9" t="n">
        <f aca="false">COUNTIFS(Pytania!$C$2:$C$1000,$A10,Pytania!$E$2:$E$1000,"Odłożone")</f>
        <v>0</v>
      </c>
      <c r="H10" s="10" t="n">
        <f aca="false">IF(B10+C10=0,0,F10/(B10+C10))</f>
        <v>0</v>
      </c>
    </row>
    <row r="11" customFormat="false" ht="15" hidden="false" customHeight="false" outlineLevel="0" collapsed="false">
      <c r="A11" s="9" t="str">
        <f aca="false">Gałęzie!D11</f>
        <v>J · Środowisko w chmurze</v>
      </c>
      <c r="B11" s="9" t="n">
        <f aca="false">COUNTIFS(Pytania!$C$2:$C$1000,A11,Pytania!$B$2:$B$1000,"Pytanie")</f>
        <v>3</v>
      </c>
      <c r="C11" s="9" t="n">
        <f aca="false">COUNTIFS(Pytania!$C$2:$C$1000,A11,Pytania!$B$2:$B$1000,"Podpytanie")</f>
        <v>2</v>
      </c>
      <c r="D11" s="9" t="n">
        <f aca="false">COUNTIFS(Pytania!$C$2:$C$1000,$A11,Pytania!$E$2:$E$1000,"Otwarte")</f>
        <v>5</v>
      </c>
      <c r="E11" s="9" t="n">
        <f aca="false">COUNTIFS(Pytania!$C$2:$C$1000,$A11,Pytania!$E$2:$E$1000,"W toku")</f>
        <v>0</v>
      </c>
      <c r="F11" s="9" t="n">
        <f aca="false">COUNTIFS(Pytania!$C$2:$C$1000,$A11,Pytania!$E$2:$E$1000,"Odpowiedziane")</f>
        <v>0</v>
      </c>
      <c r="G11" s="9" t="n">
        <f aca="false">COUNTIFS(Pytania!$C$2:$C$1000,$A11,Pytania!$E$2:$E$1000,"Odłożone")</f>
        <v>0</v>
      </c>
      <c r="H11" s="10" t="n">
        <f aca="false">IF(B11+C11=0,0,F11/(B11+C11))</f>
        <v>0</v>
      </c>
    </row>
    <row r="12" customFormat="false" ht="15" hidden="false" customHeight="false" outlineLevel="0" collapsed="false">
      <c r="A12" s="9" t="str">
        <f aca="false">Gałęzie!D12</f>
        <v>K · Zmiany w czasie</v>
      </c>
      <c r="B12" s="9" t="n">
        <f aca="false">COUNTIFS(Pytania!$C$2:$C$1000,A12,Pytania!$B$2:$B$1000,"Pytanie")</f>
        <v>5</v>
      </c>
      <c r="C12" s="9" t="n">
        <f aca="false">COUNTIFS(Pytania!$C$2:$C$1000,A12,Pytania!$B$2:$B$1000,"Podpytanie")</f>
        <v>2</v>
      </c>
      <c r="D12" s="9" t="n">
        <f aca="false">COUNTIFS(Pytania!$C$2:$C$1000,$A12,Pytania!$E$2:$E$1000,"Otwarte")</f>
        <v>7</v>
      </c>
      <c r="E12" s="9" t="n">
        <f aca="false">COUNTIFS(Pytania!$C$2:$C$1000,$A12,Pytania!$E$2:$E$1000,"W toku")</f>
        <v>0</v>
      </c>
      <c r="F12" s="9" t="n">
        <f aca="false">COUNTIFS(Pytania!$C$2:$C$1000,$A12,Pytania!$E$2:$E$1000,"Odpowiedziane")</f>
        <v>0</v>
      </c>
      <c r="G12" s="9" t="n">
        <f aca="false">COUNTIFS(Pytania!$C$2:$C$1000,$A12,Pytania!$E$2:$E$1000,"Odłożone")</f>
        <v>0</v>
      </c>
      <c r="H12" s="10" t="n">
        <f aca="false">IF(B12+C12=0,0,F12/(B12+C12))</f>
        <v>0</v>
      </c>
    </row>
    <row r="13" customFormat="false" ht="15" hidden="false" customHeight="false" outlineLevel="0" collapsed="false">
      <c r="A13" s="9" t="str">
        <f aca="false">Gałęzie!D13</f>
        <v>L · Koszt, limity i skala</v>
      </c>
      <c r="B13" s="9" t="n">
        <f aca="false">COUNTIFS(Pytania!$C$2:$C$1000,A13,Pytania!$B$2:$B$1000,"Pytanie")</f>
        <v>5</v>
      </c>
      <c r="C13" s="9" t="n">
        <f aca="false">COUNTIFS(Pytania!$C$2:$C$1000,A13,Pytania!$B$2:$B$1000,"Podpytanie")</f>
        <v>2</v>
      </c>
      <c r="D13" s="9" t="n">
        <f aca="false">COUNTIFS(Pytania!$C$2:$C$1000,$A13,Pytania!$E$2:$E$1000,"Otwarte")</f>
        <v>7</v>
      </c>
      <c r="E13" s="9" t="n">
        <f aca="false">COUNTIFS(Pytania!$C$2:$C$1000,$A13,Pytania!$E$2:$E$1000,"W toku")</f>
        <v>0</v>
      </c>
      <c r="F13" s="9" t="n">
        <f aca="false">COUNTIFS(Pytania!$C$2:$C$1000,$A13,Pytania!$E$2:$E$1000,"Odpowiedziane")</f>
        <v>0</v>
      </c>
      <c r="G13" s="9" t="n">
        <f aca="false">COUNTIFS(Pytania!$C$2:$C$1000,$A13,Pytania!$E$2:$E$1000,"Odłożone")</f>
        <v>0</v>
      </c>
      <c r="H13" s="10" t="n">
        <f aca="false">IF(B13+C13=0,0,F13/(B13+C13))</f>
        <v>0</v>
      </c>
    </row>
    <row r="14" customFormat="false" ht="15" hidden="false" customHeight="false" outlineLevel="0" collapsed="false">
      <c r="A14" s="9" t="str">
        <f aca="false">Gałęzie!D14</f>
        <v>M · Przegląd i kontrola nad całością</v>
      </c>
      <c r="B14" s="9" t="n">
        <f aca="false">COUNTIFS(Pytania!$C$2:$C$1000,A14,Pytania!$B$2:$B$1000,"Pytanie")</f>
        <v>7</v>
      </c>
      <c r="C14" s="9" t="n">
        <f aca="false">COUNTIFS(Pytania!$C$2:$C$1000,A14,Pytania!$B$2:$B$1000,"Podpytanie")</f>
        <v>0</v>
      </c>
      <c r="D14" s="9" t="n">
        <f aca="false">COUNTIFS(Pytania!$C$2:$C$1000,$A14,Pytania!$E$2:$E$1000,"Otwarte")</f>
        <v>7</v>
      </c>
      <c r="E14" s="9" t="n">
        <f aca="false">COUNTIFS(Pytania!$C$2:$C$1000,$A14,Pytania!$E$2:$E$1000,"W toku")</f>
        <v>0</v>
      </c>
      <c r="F14" s="9" t="n">
        <f aca="false">COUNTIFS(Pytania!$C$2:$C$1000,$A14,Pytania!$E$2:$E$1000,"Odpowiedziane")</f>
        <v>0</v>
      </c>
      <c r="G14" s="9" t="n">
        <f aca="false">COUNTIFS(Pytania!$C$2:$C$1000,$A14,Pytania!$E$2:$E$1000,"Odłożone")</f>
        <v>0</v>
      </c>
      <c r="H14" s="10" t="n">
        <f aca="false">IF(B14+C14=0,0,F14/(B14+C14))</f>
        <v>0</v>
      </c>
    </row>
    <row r="15" customFormat="false" ht="15" hidden="false" customHeight="false" outlineLevel="0" collapsed="false">
      <c r="A15" s="9" t="str">
        <f aca="false">Gałęzie!D15</f>
        <v>N · Moja rola i doskonalenie systemu</v>
      </c>
      <c r="B15" s="9" t="n">
        <f aca="false">COUNTIFS(Pytania!$C$2:$C$1000,A15,Pytania!$B$2:$B$1000,"Pytanie")</f>
        <v>4</v>
      </c>
      <c r="C15" s="9" t="n">
        <f aca="false">COUNTIFS(Pytania!$C$2:$C$1000,A15,Pytania!$B$2:$B$1000,"Podpytanie")</f>
        <v>1</v>
      </c>
      <c r="D15" s="9" t="n">
        <f aca="false">COUNTIFS(Pytania!$C$2:$C$1000,$A15,Pytania!$E$2:$E$1000,"Otwarte")</f>
        <v>5</v>
      </c>
      <c r="E15" s="9" t="n">
        <f aca="false">COUNTIFS(Pytania!$C$2:$C$1000,$A15,Pytania!$E$2:$E$1000,"W toku")</f>
        <v>0</v>
      </c>
      <c r="F15" s="9" t="n">
        <f aca="false">COUNTIFS(Pytania!$C$2:$C$1000,$A15,Pytania!$E$2:$E$1000,"Odpowiedziane")</f>
        <v>0</v>
      </c>
      <c r="G15" s="9" t="n">
        <f aca="false">COUNTIFS(Pytania!$C$2:$C$1000,$A15,Pytania!$E$2:$E$1000,"Odłożone")</f>
        <v>0</v>
      </c>
      <c r="H15" s="10" t="n">
        <f aca="false">IF(B15+C15=0,0,F15/(B15+C15))</f>
        <v>0</v>
      </c>
    </row>
    <row r="16" customFormat="false" ht="15" hidden="false" customHeight="false" outlineLevel="0" collapsed="false">
      <c r="A16" s="11" t="s">
        <v>619</v>
      </c>
      <c r="B16" s="11" t="n">
        <f aca="false">SUM(B2:B15)</f>
        <v>79</v>
      </c>
      <c r="C16" s="11" t="n">
        <f aca="false">SUM(C2:C15)</f>
        <v>31</v>
      </c>
      <c r="D16" s="11" t="n">
        <f aca="false">SUM(D2:D15)</f>
        <v>110</v>
      </c>
      <c r="E16" s="11" t="n">
        <f aca="false">SUM(E2:E15)</f>
        <v>0</v>
      </c>
      <c r="F16" s="11" t="n">
        <f aca="false">SUM(F2:F15)</f>
        <v>0</v>
      </c>
      <c r="G16" s="11" t="n">
        <f aca="false">SUM(G2:G15)</f>
        <v>0</v>
      </c>
      <c r="H16" s="10" t="n">
        <f aca="false">IF(B16+C16=0,0,F16/(B16+C16))</f>
        <v>0</v>
      </c>
    </row>
    <row r="18" customFormat="false" ht="15" hidden="false" customHeight="false" outlineLevel="0" collapsed="false">
      <c r="A18" s="12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2026-10-06T20:39:55Z</dcterms:created>
  <dc:creator>openpyxl</dc:creator>
  <dc:description/>
  <dc:language>en-US</dc:language>
  <cp:lastModifiedBy/>
  <dcterms:modified xsi:type="dcterms:W3CDTF">2026-10-06T20:39:55Z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